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SC reuslts\"/>
    </mc:Choice>
  </mc:AlternateContent>
  <bookViews>
    <workbookView xWindow="0" yWindow="0" windowWidth="25200" windowHeight="11385"/>
  </bookViews>
  <sheets>
    <sheet name="ZDT1" sheetId="1" r:id="rId1"/>
    <sheet name="ZDT2" sheetId="2" r:id="rId2"/>
    <sheet name="ZDT3" sheetId="3" r:id="rId3"/>
    <sheet name="ZDT4" sheetId="4" r:id="rId4"/>
    <sheet name="ZDT6" sheetId="5" r:id="rId5"/>
    <sheet name="DTLZ2" sheetId="6" r:id="rId6"/>
  </sheets>
  <externalReferences>
    <externalReference r:id="rId7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4" i="6" l="1"/>
  <c r="E34" i="5"/>
  <c r="E34" i="4"/>
  <c r="E34" i="3"/>
  <c r="E34" i="2"/>
  <c r="E34" i="1"/>
  <c r="C34" i="6"/>
  <c r="C34" i="5"/>
  <c r="C34" i="4"/>
  <c r="C34" i="3"/>
  <c r="C34" i="2"/>
  <c r="C34" i="1"/>
  <c r="F50" i="2"/>
  <c r="F49" i="2"/>
  <c r="F48" i="2"/>
  <c r="F47" i="2"/>
  <c r="F46" i="2"/>
  <c r="F43" i="2"/>
  <c r="F42" i="2"/>
  <c r="F41" i="2"/>
  <c r="F40" i="2"/>
  <c r="F39" i="2"/>
  <c r="G43" i="2"/>
  <c r="G39" i="2"/>
  <c r="G42" i="2"/>
  <c r="G41" i="2"/>
  <c r="G40" i="2"/>
  <c r="F50" i="3"/>
  <c r="F46" i="3"/>
  <c r="D46" i="3"/>
  <c r="F45" i="3"/>
  <c r="D45" i="3"/>
  <c r="F43" i="3"/>
  <c r="D43" i="3"/>
  <c r="F42" i="3"/>
  <c r="F49" i="3" s="1"/>
  <c r="D42" i="3"/>
  <c r="D50" i="3" s="1"/>
  <c r="F41" i="3"/>
  <c r="F48" i="3" s="1"/>
  <c r="D41" i="3"/>
  <c r="D48" i="3" s="1"/>
  <c r="F40" i="3"/>
  <c r="F47" i="3" s="1"/>
  <c r="D40" i="3"/>
  <c r="D47" i="3" s="1"/>
  <c r="F39" i="3"/>
  <c r="D39" i="3"/>
  <c r="F45" i="2"/>
  <c r="D45" i="2"/>
  <c r="D43" i="2"/>
  <c r="D50" i="2" s="1"/>
  <c r="D42" i="2"/>
  <c r="D49" i="2" s="1"/>
  <c r="D41" i="2"/>
  <c r="D48" i="2" s="1"/>
  <c r="D40" i="2"/>
  <c r="D47" i="2" s="1"/>
  <c r="D39" i="2"/>
  <c r="D46" i="2" s="1"/>
  <c r="D49" i="3" l="1"/>
</calcChain>
</file>

<file path=xl/sharedStrings.xml><?xml version="1.0" encoding="utf-8"?>
<sst xmlns="http://schemas.openxmlformats.org/spreadsheetml/2006/main" count="60" uniqueCount="10">
  <si>
    <t>terminate generation</t>
  </si>
  <si>
    <t>run #</t>
  </si>
  <si>
    <t>Evalution saves</t>
  </si>
  <si>
    <t>default generation</t>
  </si>
  <si>
    <t>HV_d - HV_t</t>
  </si>
  <si>
    <t>Eps_d-Eps_t</t>
  </si>
  <si>
    <t>HV percentage</t>
  </si>
  <si>
    <t>true HV</t>
  </si>
  <si>
    <t>total save evaluations</t>
  </si>
  <si>
    <t>average HV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</si>
</sst>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0" fontId="0" fillId="3" borderId="0" xfId="0" applyFill="1"/>
    <xf numFmtId="0" fontId="0" fillId="2" borderId="0" xfId="0" applyFill="1" applyBorder="1"/>
    <xf numFmtId="0" fontId="0" fillId="0" borderId="0" xfId="0" applyBorder="1"/>
    <xf numFmtId="11" fontId="0" fillId="0" borderId="0" xfId="0" applyNumberForma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Average</a:t>
            </a:r>
            <a:r>
              <a:rPr lang="it-IT" baseline="0"/>
              <a:t> Hausdroff Distance for run # 1</a:t>
            </a:r>
            <a:endParaRPr lang="it-IT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[1]Sheet1!$A$1:$A$500</c:f>
              <c:numCache>
                <c:formatCode>General</c:formatCode>
                <c:ptCount val="500"/>
                <c:pt idx="0">
                  <c:v>0.17156754131976101</c:v>
                </c:pt>
                <c:pt idx="1">
                  <c:v>0.20204710452667701</c:v>
                </c:pt>
                <c:pt idx="2">
                  <c:v>8.9565588679955496E-2</c:v>
                </c:pt>
                <c:pt idx="3">
                  <c:v>0.10812941780334399</c:v>
                </c:pt>
                <c:pt idx="4">
                  <c:v>9.6827791660437104E-2</c:v>
                </c:pt>
                <c:pt idx="5">
                  <c:v>0.10086447661171299</c:v>
                </c:pt>
                <c:pt idx="6">
                  <c:v>0.51020747528042598</c:v>
                </c:pt>
                <c:pt idx="7">
                  <c:v>0.42786826313693799</c:v>
                </c:pt>
                <c:pt idx="8">
                  <c:v>0.32428357014096498</c:v>
                </c:pt>
                <c:pt idx="9">
                  <c:v>0.40038366960722599</c:v>
                </c:pt>
                <c:pt idx="10">
                  <c:v>0.13537824485581099</c:v>
                </c:pt>
                <c:pt idx="11">
                  <c:v>0.18591112635319099</c:v>
                </c:pt>
                <c:pt idx="12">
                  <c:v>0.190265861298891</c:v>
                </c:pt>
                <c:pt idx="13">
                  <c:v>0.40809719888254797</c:v>
                </c:pt>
                <c:pt idx="14">
                  <c:v>7.85972625307956E-3</c:v>
                </c:pt>
                <c:pt idx="15">
                  <c:v>0.478781806140266</c:v>
                </c:pt>
                <c:pt idx="16">
                  <c:v>0.29138796014691398</c:v>
                </c:pt>
                <c:pt idx="17">
                  <c:v>9.8562690682099996E-2</c:v>
                </c:pt>
                <c:pt idx="18">
                  <c:v>0.33402412638136503</c:v>
                </c:pt>
                <c:pt idx="19">
                  <c:v>0.30906755178619999</c:v>
                </c:pt>
                <c:pt idx="20">
                  <c:v>0.29513435767384899</c:v>
                </c:pt>
                <c:pt idx="21">
                  <c:v>8.6292389553234594E-2</c:v>
                </c:pt>
                <c:pt idx="22">
                  <c:v>0.146624713103787</c:v>
                </c:pt>
                <c:pt idx="23">
                  <c:v>8.7274701017291595E-2</c:v>
                </c:pt>
                <c:pt idx="24">
                  <c:v>1.59758266423119E-2</c:v>
                </c:pt>
                <c:pt idx="25">
                  <c:v>7.89238431983776E-2</c:v>
                </c:pt>
                <c:pt idx="26">
                  <c:v>5.5791479143301598E-2</c:v>
                </c:pt>
                <c:pt idx="27">
                  <c:v>0.227252462472877</c:v>
                </c:pt>
                <c:pt idx="28">
                  <c:v>3.3660729008164803E-2</c:v>
                </c:pt>
                <c:pt idx="29">
                  <c:v>8.3521192725782803E-2</c:v>
                </c:pt>
                <c:pt idx="30">
                  <c:v>0.11837059622721501</c:v>
                </c:pt>
                <c:pt idx="31">
                  <c:v>6.8994312700306499E-3</c:v>
                </c:pt>
                <c:pt idx="32">
                  <c:v>8.4518622463763196E-3</c:v>
                </c:pt>
                <c:pt idx="33">
                  <c:v>0.11247295127717299</c:v>
                </c:pt>
                <c:pt idx="34">
                  <c:v>0.21077111937058299</c:v>
                </c:pt>
                <c:pt idx="35">
                  <c:v>8.2969604917955297E-2</c:v>
                </c:pt>
                <c:pt idx="36">
                  <c:v>6.7972100159838594E-2</c:v>
                </c:pt>
                <c:pt idx="37">
                  <c:v>0.190654820531657</c:v>
                </c:pt>
                <c:pt idx="38">
                  <c:v>0.19762441703511899</c:v>
                </c:pt>
                <c:pt idx="39">
                  <c:v>6.1943751927446503E-3</c:v>
                </c:pt>
                <c:pt idx="40">
                  <c:v>5.67520289637252E-2</c:v>
                </c:pt>
                <c:pt idx="41">
                  <c:v>0.120274863466743</c:v>
                </c:pt>
                <c:pt idx="42">
                  <c:v>8.4394088091561403E-2</c:v>
                </c:pt>
                <c:pt idx="43">
                  <c:v>6.8737358034451301E-2</c:v>
                </c:pt>
                <c:pt idx="44">
                  <c:v>0.13817620829420199</c:v>
                </c:pt>
                <c:pt idx="45">
                  <c:v>0.122574042384318</c:v>
                </c:pt>
                <c:pt idx="46">
                  <c:v>5.4653496691676899E-2</c:v>
                </c:pt>
                <c:pt idx="47">
                  <c:v>9.6626499377610697E-2</c:v>
                </c:pt>
                <c:pt idx="48">
                  <c:v>8.8679390564754101E-2</c:v>
                </c:pt>
                <c:pt idx="49">
                  <c:v>6.2141166379627903E-2</c:v>
                </c:pt>
                <c:pt idx="50">
                  <c:v>0.117319295852858</c:v>
                </c:pt>
                <c:pt idx="51">
                  <c:v>0.25379262826479398</c:v>
                </c:pt>
                <c:pt idx="52">
                  <c:v>0.22330967235145699</c:v>
                </c:pt>
                <c:pt idx="53">
                  <c:v>8.0586047271141104E-2</c:v>
                </c:pt>
                <c:pt idx="54">
                  <c:v>0.198338460617592</c:v>
                </c:pt>
                <c:pt idx="55">
                  <c:v>0.19847465898442801</c:v>
                </c:pt>
                <c:pt idx="56">
                  <c:v>4.4043167664676697E-2</c:v>
                </c:pt>
                <c:pt idx="57">
                  <c:v>0.12979944825704301</c:v>
                </c:pt>
                <c:pt idx="58">
                  <c:v>0.20407350988265499</c:v>
                </c:pt>
                <c:pt idx="59">
                  <c:v>6.2128954190223303E-2</c:v>
                </c:pt>
                <c:pt idx="60">
                  <c:v>0.21756543759519101</c:v>
                </c:pt>
                <c:pt idx="61">
                  <c:v>0.17701670671077399</c:v>
                </c:pt>
                <c:pt idx="62">
                  <c:v>2.87200511853389E-2</c:v>
                </c:pt>
                <c:pt idx="63">
                  <c:v>4.3619504922194297E-2</c:v>
                </c:pt>
                <c:pt idx="64">
                  <c:v>0.18174926513394801</c:v>
                </c:pt>
                <c:pt idx="65">
                  <c:v>0.139516221643432</c:v>
                </c:pt>
                <c:pt idx="66">
                  <c:v>0.11576160869185299</c:v>
                </c:pt>
                <c:pt idx="67">
                  <c:v>7.7124086237445003E-2</c:v>
                </c:pt>
                <c:pt idx="68">
                  <c:v>0.22851476624766501</c:v>
                </c:pt>
                <c:pt idx="69">
                  <c:v>0.439691423372222</c:v>
                </c:pt>
                <c:pt idx="70">
                  <c:v>0.239609211559804</c:v>
                </c:pt>
                <c:pt idx="71">
                  <c:v>0</c:v>
                </c:pt>
                <c:pt idx="72">
                  <c:v>0.25653332389713202</c:v>
                </c:pt>
                <c:pt idx="73">
                  <c:v>0.30325231922416002</c:v>
                </c:pt>
                <c:pt idx="74">
                  <c:v>3.3214595818947402E-2</c:v>
                </c:pt>
                <c:pt idx="75">
                  <c:v>3.3334592160494801E-2</c:v>
                </c:pt>
                <c:pt idx="76">
                  <c:v>0.106519591468918</c:v>
                </c:pt>
                <c:pt idx="77">
                  <c:v>0.188069565278351</c:v>
                </c:pt>
                <c:pt idx="78">
                  <c:v>0.41445845259354003</c:v>
                </c:pt>
                <c:pt idx="79">
                  <c:v>0.35559348240583999</c:v>
                </c:pt>
                <c:pt idx="80">
                  <c:v>2.8606579669179198E-3</c:v>
                </c:pt>
                <c:pt idx="81">
                  <c:v>2.3151742518785601E-2</c:v>
                </c:pt>
                <c:pt idx="82">
                  <c:v>0</c:v>
                </c:pt>
                <c:pt idx="83">
                  <c:v>0.31874809041305402</c:v>
                </c:pt>
                <c:pt idx="84">
                  <c:v>0.33542503787632499</c:v>
                </c:pt>
                <c:pt idx="85">
                  <c:v>0.17545741520949801</c:v>
                </c:pt>
                <c:pt idx="86">
                  <c:v>4.8582474713099802E-2</c:v>
                </c:pt>
                <c:pt idx="87">
                  <c:v>0.187450607207794</c:v>
                </c:pt>
                <c:pt idx="88">
                  <c:v>5.7586431910991803E-2</c:v>
                </c:pt>
                <c:pt idx="89">
                  <c:v>0.48065462448115698</c:v>
                </c:pt>
                <c:pt idx="90">
                  <c:v>0.39974144051924398</c:v>
                </c:pt>
                <c:pt idx="91">
                  <c:v>0.108781403160865</c:v>
                </c:pt>
                <c:pt idx="92">
                  <c:v>9.5955987287463101E-2</c:v>
                </c:pt>
                <c:pt idx="93">
                  <c:v>0.14453638896270099</c:v>
                </c:pt>
                <c:pt idx="94">
                  <c:v>0.20950054473559099</c:v>
                </c:pt>
                <c:pt idx="95">
                  <c:v>0.218453803715462</c:v>
                </c:pt>
                <c:pt idx="96">
                  <c:v>2.9827151745021901E-2</c:v>
                </c:pt>
                <c:pt idx="97">
                  <c:v>2.5622864488111598E-2</c:v>
                </c:pt>
                <c:pt idx="98">
                  <c:v>0.33028785035809</c:v>
                </c:pt>
                <c:pt idx="99">
                  <c:v>0.30475550219247</c:v>
                </c:pt>
                <c:pt idx="100">
                  <c:v>0.181920028139719</c:v>
                </c:pt>
                <c:pt idx="101">
                  <c:v>0.274363899677317</c:v>
                </c:pt>
                <c:pt idx="102">
                  <c:v>0</c:v>
                </c:pt>
                <c:pt idx="103">
                  <c:v>0.15181913905775599</c:v>
                </c:pt>
                <c:pt idx="104">
                  <c:v>0.165918275803279</c:v>
                </c:pt>
                <c:pt idx="105">
                  <c:v>8.6948898815436299E-2</c:v>
                </c:pt>
                <c:pt idx="106">
                  <c:v>0.111610144525985</c:v>
                </c:pt>
                <c:pt idx="107">
                  <c:v>9.1065951677693296E-2</c:v>
                </c:pt>
                <c:pt idx="108">
                  <c:v>0.14499826566513499</c:v>
                </c:pt>
                <c:pt idx="109">
                  <c:v>3.73924120071236E-2</c:v>
                </c:pt>
                <c:pt idx="110">
                  <c:v>5.5539710618548503E-2</c:v>
                </c:pt>
                <c:pt idx="111">
                  <c:v>0.149593595427684</c:v>
                </c:pt>
                <c:pt idx="112">
                  <c:v>0.10586719641987601</c:v>
                </c:pt>
                <c:pt idx="113">
                  <c:v>6.3936892571758996E-2</c:v>
                </c:pt>
                <c:pt idx="114">
                  <c:v>2.9809455109509601E-2</c:v>
                </c:pt>
                <c:pt idx="115">
                  <c:v>0.15027650444323201</c:v>
                </c:pt>
                <c:pt idx="116">
                  <c:v>0.1009953237362</c:v>
                </c:pt>
                <c:pt idx="117">
                  <c:v>7.8513682179035302E-2</c:v>
                </c:pt>
                <c:pt idx="118">
                  <c:v>1.16383243950969E-2</c:v>
                </c:pt>
                <c:pt idx="119">
                  <c:v>9.0723680801944095E-2</c:v>
                </c:pt>
                <c:pt idx="120">
                  <c:v>4.7403299811458202E-2</c:v>
                </c:pt>
                <c:pt idx="121">
                  <c:v>8.5863409154202401E-4</c:v>
                </c:pt>
                <c:pt idx="122">
                  <c:v>7.1597847546761795E-2</c:v>
                </c:pt>
                <c:pt idx="123">
                  <c:v>5.6723282937856903E-2</c:v>
                </c:pt>
                <c:pt idx="124">
                  <c:v>5.09378771117074E-2</c:v>
                </c:pt>
                <c:pt idx="125">
                  <c:v>2.0971104373505901E-2</c:v>
                </c:pt>
                <c:pt idx="126">
                  <c:v>0.101288769596437</c:v>
                </c:pt>
                <c:pt idx="127">
                  <c:v>5.9985863264432497E-2</c:v>
                </c:pt>
                <c:pt idx="128">
                  <c:v>0.100670007833717</c:v>
                </c:pt>
                <c:pt idx="129">
                  <c:v>5.9337273047669198E-2</c:v>
                </c:pt>
                <c:pt idx="130">
                  <c:v>2.4271038867176499E-2</c:v>
                </c:pt>
                <c:pt idx="131">
                  <c:v>5.9949378448413103E-2</c:v>
                </c:pt>
                <c:pt idx="132">
                  <c:v>4.6572461800371903E-2</c:v>
                </c:pt>
                <c:pt idx="133">
                  <c:v>3.3027566442390001E-2</c:v>
                </c:pt>
                <c:pt idx="134">
                  <c:v>8.1037831346217198E-2</c:v>
                </c:pt>
                <c:pt idx="135">
                  <c:v>1.6587317467289302E-2</c:v>
                </c:pt>
                <c:pt idx="136">
                  <c:v>3.7790840818015002E-2</c:v>
                </c:pt>
                <c:pt idx="137">
                  <c:v>1.0071803186666299E-2</c:v>
                </c:pt>
                <c:pt idx="138">
                  <c:v>3.4998587903963603E-2</c:v>
                </c:pt>
                <c:pt idx="139">
                  <c:v>2.3297909994529901E-2</c:v>
                </c:pt>
                <c:pt idx="140">
                  <c:v>2.4851627597819E-2</c:v>
                </c:pt>
                <c:pt idx="141">
                  <c:v>2.7666965784865698E-2</c:v>
                </c:pt>
                <c:pt idx="142">
                  <c:v>6.4756409293652895E-2</c:v>
                </c:pt>
                <c:pt idx="143">
                  <c:v>7.3426848063007796E-2</c:v>
                </c:pt>
                <c:pt idx="144">
                  <c:v>4.4216400943824802E-3</c:v>
                </c:pt>
                <c:pt idx="145">
                  <c:v>9.0740980243297804E-3</c:v>
                </c:pt>
                <c:pt idx="146">
                  <c:v>5.5040165768121499E-2</c:v>
                </c:pt>
                <c:pt idx="147">
                  <c:v>5.1424342757982501E-2</c:v>
                </c:pt>
                <c:pt idx="148">
                  <c:v>1.8772342730163798E-2</c:v>
                </c:pt>
                <c:pt idx="149">
                  <c:v>3.7313013119064598E-2</c:v>
                </c:pt>
                <c:pt idx="150">
                  <c:v>8.8670098488384096E-3</c:v>
                </c:pt>
                <c:pt idx="151">
                  <c:v>1.9532735998883201E-2</c:v>
                </c:pt>
                <c:pt idx="152">
                  <c:v>4.7193448748498998E-2</c:v>
                </c:pt>
                <c:pt idx="153">
                  <c:v>1.33170459944911E-2</c:v>
                </c:pt>
                <c:pt idx="154">
                  <c:v>1.52095505344214E-2</c:v>
                </c:pt>
                <c:pt idx="155">
                  <c:v>2.0927972077035201E-2</c:v>
                </c:pt>
                <c:pt idx="156">
                  <c:v>9.3886292874362093E-3</c:v>
                </c:pt>
                <c:pt idx="157">
                  <c:v>1.46625980419048E-2</c:v>
                </c:pt>
                <c:pt idx="158">
                  <c:v>7.7135929945156504E-3</c:v>
                </c:pt>
                <c:pt idx="159">
                  <c:v>1.3036114371442101E-2</c:v>
                </c:pt>
                <c:pt idx="160">
                  <c:v>6.9317794050929001E-3</c:v>
                </c:pt>
                <c:pt idx="161">
                  <c:v>2.1609931632426398E-2</c:v>
                </c:pt>
                <c:pt idx="162">
                  <c:v>6.4268362604234302E-3</c:v>
                </c:pt>
                <c:pt idx="163">
                  <c:v>5.90499891471936E-3</c:v>
                </c:pt>
                <c:pt idx="164">
                  <c:v>3.47085699072906E-3</c:v>
                </c:pt>
                <c:pt idx="165">
                  <c:v>6.6119964846839798E-3</c:v>
                </c:pt>
                <c:pt idx="166">
                  <c:v>1.2701296665564301E-2</c:v>
                </c:pt>
                <c:pt idx="167">
                  <c:v>5.6035805321076196E-3</c:v>
                </c:pt>
                <c:pt idx="168">
                  <c:v>3.88989722440331E-3</c:v>
                </c:pt>
                <c:pt idx="169">
                  <c:v>4.1647228562392497E-3</c:v>
                </c:pt>
                <c:pt idx="170">
                  <c:v>6.5068351985386099E-3</c:v>
                </c:pt>
                <c:pt idx="171">
                  <c:v>3.43435211948837E-3</c:v>
                </c:pt>
                <c:pt idx="172">
                  <c:v>3.9737055890581704E-3</c:v>
                </c:pt>
                <c:pt idx="173">
                  <c:v>2.7609790414840499E-3</c:v>
                </c:pt>
                <c:pt idx="174">
                  <c:v>3.7573879275096199E-3</c:v>
                </c:pt>
                <c:pt idx="175">
                  <c:v>3.2553576801596599E-3</c:v>
                </c:pt>
                <c:pt idx="176">
                  <c:v>9.4971844359633597E-3</c:v>
                </c:pt>
                <c:pt idx="177">
                  <c:v>2.5950751886385402E-3</c:v>
                </c:pt>
                <c:pt idx="178">
                  <c:v>2.3141066213815198E-3</c:v>
                </c:pt>
                <c:pt idx="179">
                  <c:v>1.28432893804697E-2</c:v>
                </c:pt>
                <c:pt idx="180">
                  <c:v>3.1605672258487E-3</c:v>
                </c:pt>
                <c:pt idx="181">
                  <c:v>3.0761001012624702E-3</c:v>
                </c:pt>
                <c:pt idx="182">
                  <c:v>4.0964263941399501E-3</c:v>
                </c:pt>
                <c:pt idx="183">
                  <c:v>2.3573095230067002E-3</c:v>
                </c:pt>
                <c:pt idx="184">
                  <c:v>3.1340761863978901E-3</c:v>
                </c:pt>
                <c:pt idx="185">
                  <c:v>3.3674869298466201E-3</c:v>
                </c:pt>
                <c:pt idx="186">
                  <c:v>3.0274374519959802E-3</c:v>
                </c:pt>
                <c:pt idx="187">
                  <c:v>2.9932358497662798E-3</c:v>
                </c:pt>
                <c:pt idx="188">
                  <c:v>2.6375325425441599E-3</c:v>
                </c:pt>
                <c:pt idx="189">
                  <c:v>3.6981941848819701E-3</c:v>
                </c:pt>
                <c:pt idx="190">
                  <c:v>2.9394734034958801E-3</c:v>
                </c:pt>
                <c:pt idx="191">
                  <c:v>2.8507014746753799E-3</c:v>
                </c:pt>
                <c:pt idx="192">
                  <c:v>3.2259157070262598E-3</c:v>
                </c:pt>
                <c:pt idx="193">
                  <c:v>2.7595026075388799E-3</c:v>
                </c:pt>
                <c:pt idx="194">
                  <c:v>5.4965617747144303E-3</c:v>
                </c:pt>
                <c:pt idx="195">
                  <c:v>2.41603736757317E-3</c:v>
                </c:pt>
                <c:pt idx="196">
                  <c:v>3.0071295582330699E-3</c:v>
                </c:pt>
                <c:pt idx="197">
                  <c:v>2.0394605057014702E-3</c:v>
                </c:pt>
                <c:pt idx="198">
                  <c:v>3.1623892524173499E-3</c:v>
                </c:pt>
                <c:pt idx="199">
                  <c:v>1.8695914946943301E-3</c:v>
                </c:pt>
                <c:pt idx="200">
                  <c:v>3.1698397095642002E-3</c:v>
                </c:pt>
                <c:pt idx="201">
                  <c:v>2.0051193310960998E-3</c:v>
                </c:pt>
                <c:pt idx="202">
                  <c:v>2.63182687198729E-3</c:v>
                </c:pt>
                <c:pt idx="203">
                  <c:v>2.4333917879018402E-3</c:v>
                </c:pt>
                <c:pt idx="204">
                  <c:v>5.2786357681499302E-3</c:v>
                </c:pt>
                <c:pt idx="205">
                  <c:v>2.2896053898709E-3</c:v>
                </c:pt>
                <c:pt idx="206">
                  <c:v>2.56162498744077E-3</c:v>
                </c:pt>
                <c:pt idx="207">
                  <c:v>2.7413163296887101E-3</c:v>
                </c:pt>
                <c:pt idx="208">
                  <c:v>1.51052679605028E-3</c:v>
                </c:pt>
                <c:pt idx="209">
                  <c:v>3.0170250338511099E-3</c:v>
                </c:pt>
                <c:pt idx="210">
                  <c:v>2.90281845850114E-3</c:v>
                </c:pt>
                <c:pt idx="211">
                  <c:v>2.21961105296289E-3</c:v>
                </c:pt>
                <c:pt idx="212">
                  <c:v>3.3383962845560601E-3</c:v>
                </c:pt>
                <c:pt idx="213">
                  <c:v>4.6833821456857801E-3</c:v>
                </c:pt>
                <c:pt idx="214">
                  <c:v>1.32775612319838E-2</c:v>
                </c:pt>
                <c:pt idx="215">
                  <c:v>2.7656388222053602E-3</c:v>
                </c:pt>
                <c:pt idx="216">
                  <c:v>5.34799669074606E-3</c:v>
                </c:pt>
                <c:pt idx="217">
                  <c:v>1.73150491084379E-3</c:v>
                </c:pt>
                <c:pt idx="218">
                  <c:v>2.90034154284196E-3</c:v>
                </c:pt>
                <c:pt idx="219">
                  <c:v>2.4626610123435798E-3</c:v>
                </c:pt>
                <c:pt idx="220">
                  <c:v>5.2506826397127103E-3</c:v>
                </c:pt>
                <c:pt idx="221">
                  <c:v>2.77655038786301E-3</c:v>
                </c:pt>
                <c:pt idx="222">
                  <c:v>2.3516727562211599E-3</c:v>
                </c:pt>
                <c:pt idx="223">
                  <c:v>3.72056164309903E-3</c:v>
                </c:pt>
                <c:pt idx="224">
                  <c:v>1.8942724907706002E-2</c:v>
                </c:pt>
                <c:pt idx="225">
                  <c:v>2.33876615770279E-3</c:v>
                </c:pt>
                <c:pt idx="226">
                  <c:v>2.48026228593572E-3</c:v>
                </c:pt>
                <c:pt idx="227">
                  <c:v>2.15052399610867E-3</c:v>
                </c:pt>
                <c:pt idx="228">
                  <c:v>2.0320423212356101E-3</c:v>
                </c:pt>
                <c:pt idx="229">
                  <c:v>5.4075590390209004E-3</c:v>
                </c:pt>
                <c:pt idx="230">
                  <c:v>2.9638868114518199E-2</c:v>
                </c:pt>
                <c:pt idx="231">
                  <c:v>2.0782313524466398E-3</c:v>
                </c:pt>
                <c:pt idx="232">
                  <c:v>2.1187928573316302E-3</c:v>
                </c:pt>
                <c:pt idx="233">
                  <c:v>1.8188980559719702E-2</c:v>
                </c:pt>
                <c:pt idx="234">
                  <c:v>5.9606721590562101E-2</c:v>
                </c:pt>
                <c:pt idx="235">
                  <c:v>3.8538045651402002E-2</c:v>
                </c:pt>
                <c:pt idx="236">
                  <c:v>4.8061896227553198E-2</c:v>
                </c:pt>
                <c:pt idx="237">
                  <c:v>3.7636441007195001E-2</c:v>
                </c:pt>
                <c:pt idx="238">
                  <c:v>8.81141603159976E-2</c:v>
                </c:pt>
                <c:pt idx="239">
                  <c:v>1.1114996966607499E-2</c:v>
                </c:pt>
                <c:pt idx="240">
                  <c:v>3.3934046207528099E-3</c:v>
                </c:pt>
                <c:pt idx="241">
                  <c:v>1.0891260456154E-2</c:v>
                </c:pt>
                <c:pt idx="242">
                  <c:v>9.0785476482244595E-3</c:v>
                </c:pt>
                <c:pt idx="243">
                  <c:v>7.7267688047871598E-3</c:v>
                </c:pt>
                <c:pt idx="244">
                  <c:v>9.0132298971971406E-3</c:v>
                </c:pt>
                <c:pt idx="245">
                  <c:v>4.9485434455028999E-3</c:v>
                </c:pt>
                <c:pt idx="246">
                  <c:v>7.4711102882075399E-3</c:v>
                </c:pt>
                <c:pt idx="247">
                  <c:v>4.4015876435247198E-3</c:v>
                </c:pt>
                <c:pt idx="248">
                  <c:v>3.9599065160536304E-3</c:v>
                </c:pt>
                <c:pt idx="249">
                  <c:v>2.6355155369766799E-3</c:v>
                </c:pt>
                <c:pt idx="250">
                  <c:v>3.84466510517205E-3</c:v>
                </c:pt>
                <c:pt idx="251">
                  <c:v>2.9036322255645698E-3</c:v>
                </c:pt>
                <c:pt idx="252">
                  <c:v>2.2241425334105702E-3</c:v>
                </c:pt>
                <c:pt idx="253">
                  <c:v>3.6898574832100201E-3</c:v>
                </c:pt>
                <c:pt idx="254">
                  <c:v>2.0848162116732499E-3</c:v>
                </c:pt>
                <c:pt idx="255">
                  <c:v>3.3563992035871501E-3</c:v>
                </c:pt>
                <c:pt idx="256">
                  <c:v>1.8858412079111801E-3</c:v>
                </c:pt>
                <c:pt idx="257">
                  <c:v>3.0798100384323399E-3</c:v>
                </c:pt>
                <c:pt idx="258">
                  <c:v>2.18344329509047E-3</c:v>
                </c:pt>
                <c:pt idx="259">
                  <c:v>2.4256074023346901E-3</c:v>
                </c:pt>
                <c:pt idx="260">
                  <c:v>2.4904223699844402E-3</c:v>
                </c:pt>
                <c:pt idx="261">
                  <c:v>2.2147511246418698E-3</c:v>
                </c:pt>
                <c:pt idx="262">
                  <c:v>2.88743935000983E-3</c:v>
                </c:pt>
                <c:pt idx="263">
                  <c:v>2.1527556683077799E-3</c:v>
                </c:pt>
                <c:pt idx="264">
                  <c:v>1.88514354782702E-3</c:v>
                </c:pt>
                <c:pt idx="265">
                  <c:v>2.8864363117941001E-3</c:v>
                </c:pt>
                <c:pt idx="266">
                  <c:v>2.4197925708699299E-3</c:v>
                </c:pt>
                <c:pt idx="267">
                  <c:v>3.4207712377809598E-3</c:v>
                </c:pt>
                <c:pt idx="268">
                  <c:v>2.20098691605084E-3</c:v>
                </c:pt>
                <c:pt idx="269">
                  <c:v>2.7497515149186801E-3</c:v>
                </c:pt>
                <c:pt idx="270">
                  <c:v>2.5407462522244301E-3</c:v>
                </c:pt>
                <c:pt idx="271">
                  <c:v>2.7970687252876101E-3</c:v>
                </c:pt>
                <c:pt idx="272">
                  <c:v>3.0664884285554099E-3</c:v>
                </c:pt>
                <c:pt idx="273">
                  <c:v>3.2258631403684298E-3</c:v>
                </c:pt>
                <c:pt idx="274">
                  <c:v>1.85882544394896E-3</c:v>
                </c:pt>
                <c:pt idx="275">
                  <c:v>2.6190078856189801E-3</c:v>
                </c:pt>
                <c:pt idx="276">
                  <c:v>2.9365553698550901E-3</c:v>
                </c:pt>
                <c:pt idx="277">
                  <c:v>2.2696806309431298E-3</c:v>
                </c:pt>
                <c:pt idx="278">
                  <c:v>2.0025285655330899E-3</c:v>
                </c:pt>
                <c:pt idx="279">
                  <c:v>2.7491547163870701E-3</c:v>
                </c:pt>
                <c:pt idx="280">
                  <c:v>2.9608637554055998E-3</c:v>
                </c:pt>
                <c:pt idx="281">
                  <c:v>2.68796240751719E-3</c:v>
                </c:pt>
                <c:pt idx="282">
                  <c:v>2.63971723057801E-3</c:v>
                </c:pt>
                <c:pt idx="283">
                  <c:v>2.6136501957499001E-3</c:v>
                </c:pt>
                <c:pt idx="284">
                  <c:v>2.3466154161523199E-3</c:v>
                </c:pt>
                <c:pt idx="285">
                  <c:v>2.0878964485996601E-3</c:v>
                </c:pt>
                <c:pt idx="286">
                  <c:v>2.4086234157356099E-3</c:v>
                </c:pt>
                <c:pt idx="287">
                  <c:v>2.45975777026658E-3</c:v>
                </c:pt>
                <c:pt idx="288">
                  <c:v>2.4847581453369899E-3</c:v>
                </c:pt>
                <c:pt idx="289">
                  <c:v>1.2798741713572299E-3</c:v>
                </c:pt>
                <c:pt idx="290">
                  <c:v>2.21583446444418E-3</c:v>
                </c:pt>
                <c:pt idx="291">
                  <c:v>2.1900524411716501E-3</c:v>
                </c:pt>
                <c:pt idx="292">
                  <c:v>2.8934690761095601E-3</c:v>
                </c:pt>
                <c:pt idx="293">
                  <c:v>2.7872850021952501E-3</c:v>
                </c:pt>
                <c:pt idx="294">
                  <c:v>2.2654952681138599E-3</c:v>
                </c:pt>
                <c:pt idx="295">
                  <c:v>2.5893584441856001E-3</c:v>
                </c:pt>
                <c:pt idx="296">
                  <c:v>3.1284926171918099E-3</c:v>
                </c:pt>
                <c:pt idx="297">
                  <c:v>2.5069147860372599E-3</c:v>
                </c:pt>
                <c:pt idx="298">
                  <c:v>2.92464439451696E-3</c:v>
                </c:pt>
                <c:pt idx="299">
                  <c:v>2.5014150728743202E-3</c:v>
                </c:pt>
                <c:pt idx="300">
                  <c:v>2.3123876279132699E-3</c:v>
                </c:pt>
                <c:pt idx="301">
                  <c:v>1.75886616307854E-3</c:v>
                </c:pt>
                <c:pt idx="302">
                  <c:v>2.16937354984958E-3</c:v>
                </c:pt>
                <c:pt idx="303">
                  <c:v>3.68397941223195E-3</c:v>
                </c:pt>
                <c:pt idx="304">
                  <c:v>1.99400280690937E-3</c:v>
                </c:pt>
                <c:pt idx="305">
                  <c:v>2.46005525446018E-3</c:v>
                </c:pt>
                <c:pt idx="306">
                  <c:v>2.49870873897472E-3</c:v>
                </c:pt>
                <c:pt idx="307">
                  <c:v>2.6342429226185299E-3</c:v>
                </c:pt>
                <c:pt idx="308">
                  <c:v>3.1545825320595001E-3</c:v>
                </c:pt>
                <c:pt idx="309">
                  <c:v>2.8549367594902998E-3</c:v>
                </c:pt>
                <c:pt idx="310">
                  <c:v>2.0375825661769899E-3</c:v>
                </c:pt>
                <c:pt idx="311">
                  <c:v>1.22984553964865E-3</c:v>
                </c:pt>
                <c:pt idx="312">
                  <c:v>2.1406607212893299E-3</c:v>
                </c:pt>
                <c:pt idx="313">
                  <c:v>1.8243456342147801E-3</c:v>
                </c:pt>
                <c:pt idx="314">
                  <c:v>2.2629558912754602E-3</c:v>
                </c:pt>
                <c:pt idx="315">
                  <c:v>2.9948543631355901E-3</c:v>
                </c:pt>
                <c:pt idx="316">
                  <c:v>3.84466394214396E-3</c:v>
                </c:pt>
                <c:pt idx="317">
                  <c:v>2.09051974268541E-3</c:v>
                </c:pt>
                <c:pt idx="318">
                  <c:v>2.1943904005247098E-3</c:v>
                </c:pt>
                <c:pt idx="319">
                  <c:v>3.1003340580593301E-3</c:v>
                </c:pt>
                <c:pt idx="320">
                  <c:v>2.2335074445341599E-3</c:v>
                </c:pt>
                <c:pt idx="321">
                  <c:v>1.9621674658677202E-3</c:v>
                </c:pt>
                <c:pt idx="322">
                  <c:v>1.7932965776779599E-3</c:v>
                </c:pt>
                <c:pt idx="323">
                  <c:v>2.9412660769727499E-3</c:v>
                </c:pt>
                <c:pt idx="324">
                  <c:v>2.1210958602243101E-3</c:v>
                </c:pt>
                <c:pt idx="325">
                  <c:v>2.6006149209292198E-3</c:v>
                </c:pt>
                <c:pt idx="326">
                  <c:v>2.3379508882765401E-3</c:v>
                </c:pt>
                <c:pt idx="327">
                  <c:v>2.5685249074212102E-3</c:v>
                </c:pt>
                <c:pt idx="328">
                  <c:v>1.8699604855185201E-3</c:v>
                </c:pt>
                <c:pt idx="329">
                  <c:v>2.0426081533275798E-3</c:v>
                </c:pt>
                <c:pt idx="330">
                  <c:v>2.3833182639943998E-3</c:v>
                </c:pt>
                <c:pt idx="331">
                  <c:v>2.5968607223961198E-3</c:v>
                </c:pt>
                <c:pt idx="332">
                  <c:v>1.2417790678061499E-3</c:v>
                </c:pt>
                <c:pt idx="333">
                  <c:v>2.6228063674740699E-3</c:v>
                </c:pt>
                <c:pt idx="334">
                  <c:v>2.3264476551470999E-3</c:v>
                </c:pt>
                <c:pt idx="335">
                  <c:v>2.5395467866506198E-3</c:v>
                </c:pt>
                <c:pt idx="336">
                  <c:v>2.1507162919894999E-3</c:v>
                </c:pt>
                <c:pt idx="337">
                  <c:v>2.8180631346643699E-3</c:v>
                </c:pt>
                <c:pt idx="338">
                  <c:v>3.3743006696210398E-3</c:v>
                </c:pt>
                <c:pt idx="339">
                  <c:v>2.6053080740673301E-3</c:v>
                </c:pt>
                <c:pt idx="340">
                  <c:v>1.7470732133137701E-3</c:v>
                </c:pt>
                <c:pt idx="341">
                  <c:v>2.2272647021811601E-3</c:v>
                </c:pt>
                <c:pt idx="342">
                  <c:v>2.6524962242844901E-3</c:v>
                </c:pt>
                <c:pt idx="343">
                  <c:v>2.7834210983972299E-3</c:v>
                </c:pt>
                <c:pt idx="344">
                  <c:v>3.0723133172894002E-3</c:v>
                </c:pt>
                <c:pt idx="345">
                  <c:v>3.0003236372466999E-3</c:v>
                </c:pt>
                <c:pt idx="346">
                  <c:v>2.1286276236224901E-3</c:v>
                </c:pt>
                <c:pt idx="347">
                  <c:v>1.86189039063389E-3</c:v>
                </c:pt>
                <c:pt idx="348">
                  <c:v>9.6166897168357003E-4</c:v>
                </c:pt>
                <c:pt idx="349">
                  <c:v>3.4338855376999E-3</c:v>
                </c:pt>
                <c:pt idx="350">
                  <c:v>1.66111623177578E-3</c:v>
                </c:pt>
                <c:pt idx="351">
                  <c:v>2.96696679974087E-3</c:v>
                </c:pt>
                <c:pt idx="352">
                  <c:v>2.4781749474752598E-3</c:v>
                </c:pt>
                <c:pt idx="353">
                  <c:v>2.56058155235395E-3</c:v>
                </c:pt>
                <c:pt idx="354">
                  <c:v>2.0697742084740201E-3</c:v>
                </c:pt>
                <c:pt idx="355">
                  <c:v>2.82454533811511E-3</c:v>
                </c:pt>
                <c:pt idx="356">
                  <c:v>2.1884229100455001E-3</c:v>
                </c:pt>
                <c:pt idx="357">
                  <c:v>2.6715257681416298E-3</c:v>
                </c:pt>
                <c:pt idx="358">
                  <c:v>2.3269272935017198E-3</c:v>
                </c:pt>
                <c:pt idx="359">
                  <c:v>2.1465573400852602E-3</c:v>
                </c:pt>
                <c:pt idx="360">
                  <c:v>3.1776893675459399E-3</c:v>
                </c:pt>
                <c:pt idx="361">
                  <c:v>2.9695253671524202E-3</c:v>
                </c:pt>
                <c:pt idx="362">
                  <c:v>2.7496078152100699E-3</c:v>
                </c:pt>
                <c:pt idx="363">
                  <c:v>2.4589523588065499E-3</c:v>
                </c:pt>
                <c:pt idx="364">
                  <c:v>1.9304342433279101E-3</c:v>
                </c:pt>
                <c:pt idx="365">
                  <c:v>3.6875703409240601E-3</c:v>
                </c:pt>
                <c:pt idx="366">
                  <c:v>2.6428973441275502E-3</c:v>
                </c:pt>
                <c:pt idx="367">
                  <c:v>2.6734490973222202E-3</c:v>
                </c:pt>
                <c:pt idx="368">
                  <c:v>2.3377840802231899E-3</c:v>
                </c:pt>
                <c:pt idx="369">
                  <c:v>1.9068511996354E-3</c:v>
                </c:pt>
                <c:pt idx="370">
                  <c:v>1.6263713229476399E-3</c:v>
                </c:pt>
                <c:pt idx="371">
                  <c:v>1.6516608988291399E-3</c:v>
                </c:pt>
                <c:pt idx="372">
                  <c:v>1.9088529398205399E-3</c:v>
                </c:pt>
                <c:pt idx="373">
                  <c:v>3.83540652339948E-3</c:v>
                </c:pt>
                <c:pt idx="374">
                  <c:v>1.80963695827022E-3</c:v>
                </c:pt>
                <c:pt idx="375">
                  <c:v>2.8578585437620601E-3</c:v>
                </c:pt>
                <c:pt idx="376">
                  <c:v>2.5650211987048701E-3</c:v>
                </c:pt>
                <c:pt idx="377">
                  <c:v>2.3576211655208399E-3</c:v>
                </c:pt>
                <c:pt idx="378">
                  <c:v>1.6759256054508999E-3</c:v>
                </c:pt>
                <c:pt idx="379">
                  <c:v>1.74062517634295E-3</c:v>
                </c:pt>
                <c:pt idx="380">
                  <c:v>2.0629056195054099E-3</c:v>
                </c:pt>
                <c:pt idx="381">
                  <c:v>2.7413165383375301E-3</c:v>
                </c:pt>
                <c:pt idx="382">
                  <c:v>2.9508825980743298E-3</c:v>
                </c:pt>
                <c:pt idx="383">
                  <c:v>2.6719414559768298E-3</c:v>
                </c:pt>
                <c:pt idx="384">
                  <c:v>2.2901606632067602E-3</c:v>
                </c:pt>
                <c:pt idx="385">
                  <c:v>2.3504046827440999E-3</c:v>
                </c:pt>
                <c:pt idx="386">
                  <c:v>2.54513489190689E-3</c:v>
                </c:pt>
                <c:pt idx="387">
                  <c:v>2.5464238999265902E-3</c:v>
                </c:pt>
                <c:pt idx="388">
                  <c:v>1.7619352710499701E-3</c:v>
                </c:pt>
                <c:pt idx="389">
                  <c:v>2.4928776090645099E-3</c:v>
                </c:pt>
                <c:pt idx="390">
                  <c:v>2.0207579460029298E-3</c:v>
                </c:pt>
                <c:pt idx="391">
                  <c:v>2.0636496032225E-3</c:v>
                </c:pt>
                <c:pt idx="392">
                  <c:v>1.8250729518220199E-3</c:v>
                </c:pt>
                <c:pt idx="393">
                  <c:v>2.3480469398572002E-3</c:v>
                </c:pt>
                <c:pt idx="394">
                  <c:v>2.6662141672670701E-3</c:v>
                </c:pt>
                <c:pt idx="395">
                  <c:v>3.0591054713613301E-3</c:v>
                </c:pt>
                <c:pt idx="396">
                  <c:v>2.8294378499103098E-3</c:v>
                </c:pt>
                <c:pt idx="397">
                  <c:v>2.17361148239827E-3</c:v>
                </c:pt>
                <c:pt idx="398">
                  <c:v>2.3573185466101202E-3</c:v>
                </c:pt>
                <c:pt idx="399">
                  <c:v>2.3981103445547699E-3</c:v>
                </c:pt>
                <c:pt idx="400">
                  <c:v>3.2322420544443498E-3</c:v>
                </c:pt>
                <c:pt idx="401">
                  <c:v>1.9062655718802099E-3</c:v>
                </c:pt>
                <c:pt idx="402">
                  <c:v>1.9172834565873501E-3</c:v>
                </c:pt>
                <c:pt idx="403">
                  <c:v>1.70761534557186E-3</c:v>
                </c:pt>
                <c:pt idx="404">
                  <c:v>4.4956503683706902E-3</c:v>
                </c:pt>
                <c:pt idx="405">
                  <c:v>3.4072659880605401E-3</c:v>
                </c:pt>
                <c:pt idx="406">
                  <c:v>1.8633662485350699E-3</c:v>
                </c:pt>
                <c:pt idx="407">
                  <c:v>1.54709251382597E-3</c:v>
                </c:pt>
                <c:pt idx="408">
                  <c:v>2.0576750919705498E-3</c:v>
                </c:pt>
                <c:pt idx="409">
                  <c:v>1.3304094805354401E-3</c:v>
                </c:pt>
                <c:pt idx="410">
                  <c:v>3.42531216682457E-3</c:v>
                </c:pt>
                <c:pt idx="411">
                  <c:v>3.08676880311088E-3</c:v>
                </c:pt>
                <c:pt idx="412">
                  <c:v>2.5665395613423702E-3</c:v>
                </c:pt>
                <c:pt idx="413">
                  <c:v>1.8751397754725801E-3</c:v>
                </c:pt>
                <c:pt idx="414">
                  <c:v>2.5271831838400401E-3</c:v>
                </c:pt>
                <c:pt idx="415">
                  <c:v>2.1655125346555699E-3</c:v>
                </c:pt>
                <c:pt idx="416">
                  <c:v>3.2485613937317599E-3</c:v>
                </c:pt>
                <c:pt idx="417">
                  <c:v>1.79266635693082E-3</c:v>
                </c:pt>
                <c:pt idx="418">
                  <c:v>2.18931967734067E-3</c:v>
                </c:pt>
                <c:pt idx="419">
                  <c:v>2.3568906812641401E-3</c:v>
                </c:pt>
                <c:pt idx="420">
                  <c:v>2.4558999571503799E-3</c:v>
                </c:pt>
                <c:pt idx="421">
                  <c:v>3.0171410349522899E-3</c:v>
                </c:pt>
                <c:pt idx="422">
                  <c:v>2.1991883262215098E-3</c:v>
                </c:pt>
                <c:pt idx="423">
                  <c:v>1.80599970969005E-3</c:v>
                </c:pt>
                <c:pt idx="424">
                  <c:v>3.0695051995991698E-3</c:v>
                </c:pt>
                <c:pt idx="425">
                  <c:v>2.7578933390431399E-3</c:v>
                </c:pt>
                <c:pt idx="426">
                  <c:v>2.4822768542480801E-3</c:v>
                </c:pt>
                <c:pt idx="427">
                  <c:v>1.9504017406524201E-3</c:v>
                </c:pt>
                <c:pt idx="428">
                  <c:v>8.7432087446540595E-4</c:v>
                </c:pt>
                <c:pt idx="429">
                  <c:v>2.8756254531259501E-3</c:v>
                </c:pt>
                <c:pt idx="430">
                  <c:v>4.06170206956774E-3</c:v>
                </c:pt>
                <c:pt idx="431">
                  <c:v>3.19207346247972E-3</c:v>
                </c:pt>
                <c:pt idx="432">
                  <c:v>2.2662023010496502E-3</c:v>
                </c:pt>
                <c:pt idx="433">
                  <c:v>2.0158271973296201E-3</c:v>
                </c:pt>
                <c:pt idx="434">
                  <c:v>3.0016450410071398E-3</c:v>
                </c:pt>
                <c:pt idx="435">
                  <c:v>2.8637259840754198E-3</c:v>
                </c:pt>
                <c:pt idx="436">
                  <c:v>2.3094035232336901E-3</c:v>
                </c:pt>
                <c:pt idx="437">
                  <c:v>2.27176651947535E-3</c:v>
                </c:pt>
                <c:pt idx="438">
                  <c:v>1.9399264049673899E-3</c:v>
                </c:pt>
                <c:pt idx="439">
                  <c:v>3.0772640215156002E-3</c:v>
                </c:pt>
                <c:pt idx="440">
                  <c:v>2.5269857865705099E-3</c:v>
                </c:pt>
                <c:pt idx="441">
                  <c:v>2.0959332721579402E-3</c:v>
                </c:pt>
                <c:pt idx="442">
                  <c:v>2.1427511999640098E-3</c:v>
                </c:pt>
                <c:pt idx="443">
                  <c:v>2.3326771404823302E-3</c:v>
                </c:pt>
                <c:pt idx="444">
                  <c:v>3.00014943427902E-3</c:v>
                </c:pt>
                <c:pt idx="445">
                  <c:v>2.52520312013013E-3</c:v>
                </c:pt>
                <c:pt idx="446">
                  <c:v>2.7958318294622701E-3</c:v>
                </c:pt>
                <c:pt idx="447">
                  <c:v>1.9310429055501999E-3</c:v>
                </c:pt>
                <c:pt idx="448">
                  <c:v>2.9547015764219801E-3</c:v>
                </c:pt>
                <c:pt idx="449">
                  <c:v>1.6045246212958301E-3</c:v>
                </c:pt>
                <c:pt idx="450">
                  <c:v>2.7363145572715801E-3</c:v>
                </c:pt>
                <c:pt idx="451">
                  <c:v>3.10805330414019E-3</c:v>
                </c:pt>
                <c:pt idx="452">
                  <c:v>2.9489888690599499E-3</c:v>
                </c:pt>
                <c:pt idx="453">
                  <c:v>3.40219727914691E-3</c:v>
                </c:pt>
                <c:pt idx="454">
                  <c:v>2.4397655583273401E-3</c:v>
                </c:pt>
                <c:pt idx="455">
                  <c:v>1.96441751337502E-3</c:v>
                </c:pt>
                <c:pt idx="456">
                  <c:v>2.8077803938056901E-3</c:v>
                </c:pt>
                <c:pt idx="457">
                  <c:v>1.73547325559491E-3</c:v>
                </c:pt>
                <c:pt idx="458">
                  <c:v>1.9690975346332898E-3</c:v>
                </c:pt>
                <c:pt idx="459">
                  <c:v>1.98143140139832E-3</c:v>
                </c:pt>
                <c:pt idx="460">
                  <c:v>2.9782787818872598E-3</c:v>
                </c:pt>
                <c:pt idx="461">
                  <c:v>2.1330835282530299E-3</c:v>
                </c:pt>
                <c:pt idx="462">
                  <c:v>2.85579743396517E-3</c:v>
                </c:pt>
                <c:pt idx="463">
                  <c:v>3.5583979349805002E-3</c:v>
                </c:pt>
                <c:pt idx="464">
                  <c:v>1.6687882896395799E-3</c:v>
                </c:pt>
                <c:pt idx="465">
                  <c:v>1.6717447874431499E-3</c:v>
                </c:pt>
                <c:pt idx="466">
                  <c:v>3.3746667762297598E-3</c:v>
                </c:pt>
                <c:pt idx="467">
                  <c:v>3.1489699181912602E-3</c:v>
                </c:pt>
                <c:pt idx="468">
                  <c:v>2.3192738767801899E-3</c:v>
                </c:pt>
                <c:pt idx="469">
                  <c:v>2.1455573652843802E-3</c:v>
                </c:pt>
                <c:pt idx="470">
                  <c:v>2.6264042795202001E-3</c:v>
                </c:pt>
                <c:pt idx="471">
                  <c:v>2.5248822252576502E-3</c:v>
                </c:pt>
                <c:pt idx="472">
                  <c:v>3.1262136853428498E-3</c:v>
                </c:pt>
                <c:pt idx="473">
                  <c:v>2.5107951616552202E-3</c:v>
                </c:pt>
                <c:pt idx="474">
                  <c:v>3.2650899623008602E-3</c:v>
                </c:pt>
                <c:pt idx="475">
                  <c:v>2.9759243447938198E-3</c:v>
                </c:pt>
                <c:pt idx="476">
                  <c:v>2.1735032807823399E-3</c:v>
                </c:pt>
                <c:pt idx="477">
                  <c:v>2.9442335373523398E-3</c:v>
                </c:pt>
                <c:pt idx="478">
                  <c:v>3.0956214553940699E-3</c:v>
                </c:pt>
                <c:pt idx="479">
                  <c:v>2.5778125426225099E-3</c:v>
                </c:pt>
                <c:pt idx="480">
                  <c:v>2.0848386705252702E-3</c:v>
                </c:pt>
                <c:pt idx="481">
                  <c:v>2.84857017545835E-3</c:v>
                </c:pt>
                <c:pt idx="482">
                  <c:v>2.4058168671092601E-3</c:v>
                </c:pt>
                <c:pt idx="483">
                  <c:v>3.0897515744270701E-3</c:v>
                </c:pt>
                <c:pt idx="484">
                  <c:v>3.3973835761819901E-3</c:v>
                </c:pt>
                <c:pt idx="485">
                  <c:v>2.97310294984875E-3</c:v>
                </c:pt>
                <c:pt idx="486">
                  <c:v>2.3446072986945802E-3</c:v>
                </c:pt>
                <c:pt idx="487">
                  <c:v>1.92204935174696E-3</c:v>
                </c:pt>
                <c:pt idx="488">
                  <c:v>2.8769471669553002E-3</c:v>
                </c:pt>
                <c:pt idx="489">
                  <c:v>2.7998905091237499E-3</c:v>
                </c:pt>
                <c:pt idx="490">
                  <c:v>3.02763306170968E-3</c:v>
                </c:pt>
                <c:pt idx="491">
                  <c:v>2.3509348568760799E-3</c:v>
                </c:pt>
                <c:pt idx="492">
                  <c:v>3.3882160016041802E-3</c:v>
                </c:pt>
                <c:pt idx="493">
                  <c:v>2.23416184714402E-3</c:v>
                </c:pt>
                <c:pt idx="494">
                  <c:v>2.4657191070248099E-3</c:v>
                </c:pt>
                <c:pt idx="495">
                  <c:v>2.68285804492951E-3</c:v>
                </c:pt>
                <c:pt idx="496">
                  <c:v>2.0104552469947701E-3</c:v>
                </c:pt>
                <c:pt idx="497">
                  <c:v>2.7552264487549802E-3</c:v>
                </c:pt>
                <c:pt idx="498">
                  <c:v>3.0420683680702299E-3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640568"/>
        <c:axId val="590639392"/>
      </c:scatterChart>
      <c:valAx>
        <c:axId val="590640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90639392"/>
        <c:crosses val="autoZero"/>
        <c:crossBetween val="midCat"/>
      </c:valAx>
      <c:valAx>
        <c:axId val="59063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Hausdroff Distance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90640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285751</xdr:colOff>
      <xdr:row>8</xdr:row>
      <xdr:rowOff>38100</xdr:rowOff>
    </xdr:from>
    <xdr:to>
      <xdr:col>14</xdr:col>
      <xdr:colOff>104776</xdr:colOff>
      <xdr:row>15</xdr:row>
      <xdr:rowOff>19050</xdr:rowOff>
    </xdr:to>
    <xdr:sp macro="" textlink="">
      <xdr:nvSpPr>
        <xdr:cNvPr id="2" name="TextBox 1"/>
        <xdr:cNvSpPr txBox="1"/>
      </xdr:nvSpPr>
      <xdr:spPr>
        <a:xfrm>
          <a:off x="6696076" y="1600200"/>
          <a:ext cx="4819650" cy="1314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100" b="1"/>
            <a:t>terminal</a:t>
          </a:r>
          <a:r>
            <a:rPr lang="it-IT" sz="1100" b="1" baseline="0"/>
            <a:t> generation: </a:t>
          </a:r>
          <a:r>
            <a:rPr lang="it-IT" sz="1100" b="0" baseline="0"/>
            <a:t>generetaion number(t</a:t>
          </a:r>
          <a:r>
            <a:rPr lang="it-IT" sz="1100" b="0" baseline="30000"/>
            <a:t>th</a:t>
          </a:r>
          <a:r>
            <a:rPr lang="it-IT" sz="1100" b="0" baseline="0"/>
            <a:t>)  in which algorithm terminates </a:t>
          </a:r>
        </a:p>
        <a:p>
          <a:r>
            <a:rPr lang="it-IT" sz="1100" b="1" baseline="0"/>
            <a:t>Evalutaion saves: </a:t>
          </a:r>
          <a:r>
            <a:rPr lang="it-IT" sz="1100" b="0" baseline="0"/>
            <a:t>(default generation - termination generation)*population size </a:t>
          </a:r>
        </a:p>
        <a:p>
          <a:r>
            <a:rPr lang="it-IT" sz="1100" b="1"/>
            <a:t>HV_d - HV_t: </a:t>
          </a:r>
          <a:r>
            <a:rPr lang="it-IT" sz="1100" b="0"/>
            <a:t>Hypervolume (defalut generation) - Hypervolume (ternimation generation)</a:t>
          </a:r>
        </a:p>
        <a:p>
          <a:r>
            <a:rPr lang="it-IT" sz="1100" b="1"/>
            <a:t>HV percentage</a:t>
          </a:r>
          <a:r>
            <a:rPr lang="it-IT" sz="1100" b="0"/>
            <a:t>: Hypervolume (terminal generation)/true Hypervolume</a:t>
          </a:r>
          <a:r>
            <a:rPr lang="it-IT" sz="1100" b="1"/>
            <a:t> 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it-IT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Eps_d - Eps_t: </a:t>
          </a:r>
          <a:r>
            <a:rPr lang="it-IT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Epsilon (defalut generation) - epsilon (ternimation generation)</a:t>
          </a:r>
          <a:endParaRPr lang="it-IT">
            <a:effectLst/>
          </a:endParaRPr>
        </a:p>
        <a:p>
          <a:endParaRPr lang="it-IT" sz="1100" b="1"/>
        </a:p>
      </xdr:txBody>
    </xdr:sp>
    <xdr:clientData/>
  </xdr:twoCellAnchor>
  <xdr:twoCellAnchor>
    <xdr:from>
      <xdr:col>6</xdr:col>
      <xdr:colOff>333375</xdr:colOff>
      <xdr:row>2</xdr:row>
      <xdr:rowOff>0</xdr:rowOff>
    </xdr:from>
    <xdr:to>
      <xdr:col>14</xdr:col>
      <xdr:colOff>28575</xdr:colOff>
      <xdr:row>7</xdr:row>
      <xdr:rowOff>152400</xdr:rowOff>
    </xdr:to>
    <xdr:sp macro="" textlink="">
      <xdr:nvSpPr>
        <xdr:cNvPr id="4" name="TextBox 3"/>
        <xdr:cNvSpPr txBox="1"/>
      </xdr:nvSpPr>
      <xdr:spPr>
        <a:xfrm>
          <a:off x="6743700" y="381000"/>
          <a:ext cx="4695825" cy="1143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100" b="1"/>
            <a:t>Parameter Settings:</a:t>
          </a:r>
          <a:r>
            <a:rPr lang="it-IT" sz="1100" b="1" baseline="0"/>
            <a:t> </a:t>
          </a:r>
        </a:p>
        <a:p>
          <a:r>
            <a:rPr lang="it-IT" sz="1100" baseline="0"/>
            <a:t>Algorithm: NSGAII (algorithm was free to run 500 generations)</a:t>
          </a:r>
        </a:p>
        <a:p>
          <a:r>
            <a:rPr lang="it-IT" sz="1100" baseline="0"/>
            <a:t>significance value (</a:t>
          </a:r>
          <a:r>
            <a:rPr lang="el-GR" sz="1100" baseline="0"/>
            <a:t>α</a:t>
          </a:r>
          <a:r>
            <a:rPr lang="en-US" sz="1100" baseline="0"/>
            <a:t>) =0.05</a:t>
          </a:r>
        </a:p>
        <a:p>
          <a:r>
            <a:rPr lang="en-US" sz="1100" baseline="0"/>
            <a:t>nPreGen = 30</a:t>
          </a:r>
        </a:p>
        <a:p>
          <a:r>
            <a:rPr lang="en-US" sz="1100" baseline="0"/>
            <a:t>nGenUnchanged = 10 (last 10 generations, we donot have significance difference;  last 10 generations, p values are greater than 0.05)</a:t>
          </a:r>
          <a:endParaRPr lang="it-IT" sz="1100"/>
        </a:p>
      </xdr:txBody>
    </xdr:sp>
    <xdr:clientData/>
  </xdr:twoCellAnchor>
  <xdr:twoCellAnchor editAs="oneCell">
    <xdr:from>
      <xdr:col>6</xdr:col>
      <xdr:colOff>228600</xdr:colOff>
      <xdr:row>15</xdr:row>
      <xdr:rowOff>47625</xdr:rowOff>
    </xdr:from>
    <xdr:to>
      <xdr:col>13</xdr:col>
      <xdr:colOff>47625</xdr:colOff>
      <xdr:row>37</xdr:row>
      <xdr:rowOff>60410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38925" y="2943225"/>
          <a:ext cx="4210050" cy="42037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104775</xdr:colOff>
      <xdr:row>1</xdr:row>
      <xdr:rowOff>57150</xdr:rowOff>
    </xdr:from>
    <xdr:to>
      <xdr:col>16</xdr:col>
      <xdr:colOff>408775</xdr:colOff>
      <xdr:row>34</xdr:row>
      <xdr:rowOff>161126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15050" y="247650"/>
          <a:ext cx="6400000" cy="639047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95769</xdr:colOff>
      <xdr:row>2</xdr:row>
      <xdr:rowOff>76200</xdr:rowOff>
    </xdr:from>
    <xdr:to>
      <xdr:col>15</xdr:col>
      <xdr:colOff>123024</xdr:colOff>
      <xdr:row>31</xdr:row>
      <xdr:rowOff>57150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34619" y="457200"/>
          <a:ext cx="5513655" cy="55054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58654</xdr:colOff>
      <xdr:row>1</xdr:row>
      <xdr:rowOff>161925</xdr:rowOff>
    </xdr:from>
    <xdr:to>
      <xdr:col>14</xdr:col>
      <xdr:colOff>570699</xdr:colOff>
      <xdr:row>30</xdr:row>
      <xdr:rowOff>18251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7504" y="352425"/>
          <a:ext cx="5388845" cy="538082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352425</xdr:colOff>
      <xdr:row>1</xdr:row>
      <xdr:rowOff>171449</xdr:rowOff>
    </xdr:from>
    <xdr:to>
      <xdr:col>15</xdr:col>
      <xdr:colOff>95250</xdr:colOff>
      <xdr:row>19</xdr:row>
      <xdr:rowOff>185736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542924</xdr:colOff>
      <xdr:row>21</xdr:row>
      <xdr:rowOff>133350</xdr:rowOff>
    </xdr:from>
    <xdr:to>
      <xdr:col>14</xdr:col>
      <xdr:colOff>266699</xdr:colOff>
      <xdr:row>25</xdr:row>
      <xdr:rowOff>152400</xdr:rowOff>
    </xdr:to>
    <xdr:sp macro="" textlink="">
      <xdr:nvSpPr>
        <xdr:cNvPr id="3" name="TextBox 2"/>
        <xdr:cNvSpPr txBox="1"/>
      </xdr:nvSpPr>
      <xdr:spPr>
        <a:xfrm>
          <a:off x="7191374" y="4133850"/>
          <a:ext cx="3990975" cy="781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100"/>
            <a:t>I expect that this one should be terminated around 180th generation but this is terminated at 60th generaton. I am struggling to</a:t>
          </a:r>
          <a:r>
            <a:rPr lang="it-IT" sz="1100" baseline="0"/>
            <a:t> detect this early cervegence. </a:t>
          </a:r>
          <a:r>
            <a:rPr lang="it-IT" sz="1100" baseline="0">
              <a:solidFill>
                <a:srgbClr val="FF0000"/>
              </a:solidFill>
            </a:rPr>
            <a:t>Any sugesstions? </a:t>
          </a:r>
          <a:endParaRPr lang="it-IT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314325</xdr:colOff>
      <xdr:row>16</xdr:row>
      <xdr:rowOff>47625</xdr:rowOff>
    </xdr:from>
    <xdr:to>
      <xdr:col>9</xdr:col>
      <xdr:colOff>485775</xdr:colOff>
      <xdr:row>21</xdr:row>
      <xdr:rowOff>180975</xdr:rowOff>
    </xdr:to>
    <xdr:cxnSp macro="">
      <xdr:nvCxnSpPr>
        <xdr:cNvPr id="5" name="Straight Arrow Connector 4"/>
        <xdr:cNvCxnSpPr/>
      </xdr:nvCxnSpPr>
      <xdr:spPr>
        <a:xfrm flipV="1">
          <a:off x="7572375" y="3095625"/>
          <a:ext cx="781050" cy="108585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314325</xdr:colOff>
      <xdr:row>4</xdr:row>
      <xdr:rowOff>85725</xdr:rowOff>
    </xdr:from>
    <xdr:to>
      <xdr:col>6</xdr:col>
      <xdr:colOff>295275</xdr:colOff>
      <xdr:row>4</xdr:row>
      <xdr:rowOff>95250</xdr:rowOff>
    </xdr:to>
    <xdr:cxnSp macro="">
      <xdr:nvCxnSpPr>
        <xdr:cNvPr id="7" name="Straight Arrow Connector 6"/>
        <xdr:cNvCxnSpPr/>
      </xdr:nvCxnSpPr>
      <xdr:spPr>
        <a:xfrm>
          <a:off x="2857500" y="847725"/>
          <a:ext cx="3476625" cy="952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220622</xdr:colOff>
      <xdr:row>3</xdr:row>
      <xdr:rowOff>9524</xdr:rowOff>
    </xdr:from>
    <xdr:to>
      <xdr:col>15</xdr:col>
      <xdr:colOff>94450</xdr:colOff>
      <xdr:row>31</xdr:row>
      <xdr:rowOff>27775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59472" y="581024"/>
          <a:ext cx="5360228" cy="53522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>
            <v>0.17156754131976101</v>
          </cell>
        </row>
        <row r="2">
          <cell r="A2">
            <v>0.20204710452667701</v>
          </cell>
        </row>
        <row r="3">
          <cell r="A3">
            <v>8.9565588679955496E-2</v>
          </cell>
        </row>
        <row r="4">
          <cell r="A4">
            <v>0.10812941780334399</v>
          </cell>
        </row>
        <row r="5">
          <cell r="A5">
            <v>9.6827791660437104E-2</v>
          </cell>
        </row>
        <row r="6">
          <cell r="A6">
            <v>0.10086447661171299</v>
          </cell>
        </row>
        <row r="7">
          <cell r="A7">
            <v>0.51020747528042598</v>
          </cell>
        </row>
        <row r="8">
          <cell r="A8">
            <v>0.42786826313693799</v>
          </cell>
        </row>
        <row r="9">
          <cell r="A9">
            <v>0.32428357014096498</v>
          </cell>
        </row>
        <row r="10">
          <cell r="A10">
            <v>0.40038366960722599</v>
          </cell>
        </row>
        <row r="11">
          <cell r="A11">
            <v>0.13537824485581099</v>
          </cell>
        </row>
        <row r="12">
          <cell r="A12">
            <v>0.18591112635319099</v>
          </cell>
        </row>
        <row r="13">
          <cell r="A13">
            <v>0.190265861298891</v>
          </cell>
        </row>
        <row r="14">
          <cell r="A14">
            <v>0.40809719888254797</v>
          </cell>
        </row>
        <row r="15">
          <cell r="A15">
            <v>7.85972625307956E-3</v>
          </cell>
        </row>
        <row r="16">
          <cell r="A16">
            <v>0.478781806140266</v>
          </cell>
        </row>
        <row r="17">
          <cell r="A17">
            <v>0.29138796014691398</v>
          </cell>
        </row>
        <row r="18">
          <cell r="A18">
            <v>9.8562690682099996E-2</v>
          </cell>
        </row>
        <row r="19">
          <cell r="A19">
            <v>0.33402412638136503</v>
          </cell>
        </row>
        <row r="20">
          <cell r="A20">
            <v>0.30906755178619999</v>
          </cell>
        </row>
        <row r="21">
          <cell r="A21">
            <v>0.29513435767384899</v>
          </cell>
        </row>
        <row r="22">
          <cell r="A22">
            <v>8.6292389553234594E-2</v>
          </cell>
        </row>
        <row r="23">
          <cell r="A23">
            <v>0.146624713103787</v>
          </cell>
        </row>
        <row r="24">
          <cell r="A24">
            <v>8.7274701017291595E-2</v>
          </cell>
        </row>
        <row r="25">
          <cell r="A25">
            <v>1.59758266423119E-2</v>
          </cell>
        </row>
        <row r="26">
          <cell r="A26">
            <v>7.89238431983776E-2</v>
          </cell>
        </row>
        <row r="27">
          <cell r="A27">
            <v>5.5791479143301598E-2</v>
          </cell>
        </row>
        <row r="28">
          <cell r="A28">
            <v>0.227252462472877</v>
          </cell>
        </row>
        <row r="29">
          <cell r="A29">
            <v>3.3660729008164803E-2</v>
          </cell>
        </row>
        <row r="30">
          <cell r="A30">
            <v>8.3521192725782803E-2</v>
          </cell>
        </row>
        <row r="31">
          <cell r="A31">
            <v>0.11837059622721501</v>
          </cell>
        </row>
        <row r="32">
          <cell r="A32">
            <v>6.8994312700306499E-3</v>
          </cell>
        </row>
        <row r="33">
          <cell r="A33">
            <v>8.4518622463763196E-3</v>
          </cell>
        </row>
        <row r="34">
          <cell r="A34">
            <v>0.11247295127717299</v>
          </cell>
        </row>
        <row r="35">
          <cell r="A35">
            <v>0.21077111937058299</v>
          </cell>
        </row>
        <row r="36">
          <cell r="A36">
            <v>8.2969604917955297E-2</v>
          </cell>
        </row>
        <row r="37">
          <cell r="A37">
            <v>6.7972100159838594E-2</v>
          </cell>
        </row>
        <row r="38">
          <cell r="A38">
            <v>0.190654820531657</v>
          </cell>
        </row>
        <row r="39">
          <cell r="A39">
            <v>0.19762441703511899</v>
          </cell>
        </row>
        <row r="40">
          <cell r="A40">
            <v>6.1943751927446503E-3</v>
          </cell>
        </row>
        <row r="41">
          <cell r="A41">
            <v>5.67520289637252E-2</v>
          </cell>
        </row>
        <row r="42">
          <cell r="A42">
            <v>0.120274863466743</v>
          </cell>
        </row>
        <row r="43">
          <cell r="A43">
            <v>8.4394088091561403E-2</v>
          </cell>
        </row>
        <row r="44">
          <cell r="A44">
            <v>6.8737358034451301E-2</v>
          </cell>
        </row>
        <row r="45">
          <cell r="A45">
            <v>0.13817620829420199</v>
          </cell>
        </row>
        <row r="46">
          <cell r="A46">
            <v>0.122574042384318</v>
          </cell>
        </row>
        <row r="47">
          <cell r="A47">
            <v>5.4653496691676899E-2</v>
          </cell>
        </row>
        <row r="48">
          <cell r="A48">
            <v>9.6626499377610697E-2</v>
          </cell>
        </row>
        <row r="49">
          <cell r="A49">
            <v>8.8679390564754101E-2</v>
          </cell>
        </row>
        <row r="50">
          <cell r="A50">
            <v>6.2141166379627903E-2</v>
          </cell>
        </row>
        <row r="51">
          <cell r="A51">
            <v>0.117319295852858</v>
          </cell>
        </row>
        <row r="52">
          <cell r="A52">
            <v>0.25379262826479398</v>
          </cell>
        </row>
        <row r="53">
          <cell r="A53">
            <v>0.22330967235145699</v>
          </cell>
        </row>
        <row r="54">
          <cell r="A54">
            <v>8.0586047271141104E-2</v>
          </cell>
        </row>
        <row r="55">
          <cell r="A55">
            <v>0.198338460617592</v>
          </cell>
        </row>
        <row r="56">
          <cell r="A56">
            <v>0.19847465898442801</v>
          </cell>
        </row>
        <row r="57">
          <cell r="A57">
            <v>4.4043167664676697E-2</v>
          </cell>
        </row>
        <row r="58">
          <cell r="A58">
            <v>0.12979944825704301</v>
          </cell>
        </row>
        <row r="59">
          <cell r="A59">
            <v>0.20407350988265499</v>
          </cell>
        </row>
        <row r="60">
          <cell r="A60">
            <v>6.2128954190223303E-2</v>
          </cell>
        </row>
        <row r="61">
          <cell r="A61">
            <v>0.21756543759519101</v>
          </cell>
        </row>
        <row r="62">
          <cell r="A62">
            <v>0.17701670671077399</v>
          </cell>
        </row>
        <row r="63">
          <cell r="A63">
            <v>2.87200511853389E-2</v>
          </cell>
        </row>
        <row r="64">
          <cell r="A64">
            <v>4.3619504922194297E-2</v>
          </cell>
        </row>
        <row r="65">
          <cell r="A65">
            <v>0.18174926513394801</v>
          </cell>
        </row>
        <row r="66">
          <cell r="A66">
            <v>0.139516221643432</v>
          </cell>
        </row>
        <row r="67">
          <cell r="A67">
            <v>0.11576160869185299</v>
          </cell>
        </row>
        <row r="68">
          <cell r="A68">
            <v>7.7124086237445003E-2</v>
          </cell>
        </row>
        <row r="69">
          <cell r="A69">
            <v>0.22851476624766501</v>
          </cell>
        </row>
        <row r="70">
          <cell r="A70">
            <v>0.439691423372222</v>
          </cell>
        </row>
        <row r="71">
          <cell r="A71">
            <v>0.239609211559804</v>
          </cell>
        </row>
        <row r="72">
          <cell r="A72">
            <v>0</v>
          </cell>
        </row>
        <row r="73">
          <cell r="A73">
            <v>0.25653332389713202</v>
          </cell>
        </row>
        <row r="74">
          <cell r="A74">
            <v>0.30325231922416002</v>
          </cell>
        </row>
        <row r="75">
          <cell r="A75">
            <v>3.3214595818947402E-2</v>
          </cell>
        </row>
        <row r="76">
          <cell r="A76">
            <v>3.3334592160494801E-2</v>
          </cell>
        </row>
        <row r="77">
          <cell r="A77">
            <v>0.106519591468918</v>
          </cell>
        </row>
        <row r="78">
          <cell r="A78">
            <v>0.188069565278351</v>
          </cell>
        </row>
        <row r="79">
          <cell r="A79">
            <v>0.41445845259354003</v>
          </cell>
        </row>
        <row r="80">
          <cell r="A80">
            <v>0.35559348240583999</v>
          </cell>
        </row>
        <row r="81">
          <cell r="A81">
            <v>2.8606579669179198E-3</v>
          </cell>
        </row>
        <row r="82">
          <cell r="A82">
            <v>2.3151742518785601E-2</v>
          </cell>
        </row>
        <row r="83">
          <cell r="A83">
            <v>0</v>
          </cell>
        </row>
        <row r="84">
          <cell r="A84">
            <v>0.31874809041305402</v>
          </cell>
        </row>
        <row r="85">
          <cell r="A85">
            <v>0.33542503787632499</v>
          </cell>
        </row>
        <row r="86">
          <cell r="A86">
            <v>0.17545741520949801</v>
          </cell>
        </row>
        <row r="87">
          <cell r="A87">
            <v>4.8582474713099802E-2</v>
          </cell>
        </row>
        <row r="88">
          <cell r="A88">
            <v>0.187450607207794</v>
          </cell>
        </row>
        <row r="89">
          <cell r="A89">
            <v>5.7586431910991803E-2</v>
          </cell>
        </row>
        <row r="90">
          <cell r="A90">
            <v>0.48065462448115698</v>
          </cell>
        </row>
        <row r="91">
          <cell r="A91">
            <v>0.39974144051924398</v>
          </cell>
        </row>
        <row r="92">
          <cell r="A92">
            <v>0.108781403160865</v>
          </cell>
        </row>
        <row r="93">
          <cell r="A93">
            <v>9.5955987287463101E-2</v>
          </cell>
        </row>
        <row r="94">
          <cell r="A94">
            <v>0.14453638896270099</v>
          </cell>
        </row>
        <row r="95">
          <cell r="A95">
            <v>0.20950054473559099</v>
          </cell>
        </row>
        <row r="96">
          <cell r="A96">
            <v>0.218453803715462</v>
          </cell>
        </row>
        <row r="97">
          <cell r="A97">
            <v>2.9827151745021901E-2</v>
          </cell>
        </row>
        <row r="98">
          <cell r="A98">
            <v>2.5622864488111598E-2</v>
          </cell>
        </row>
        <row r="99">
          <cell r="A99">
            <v>0.33028785035809</v>
          </cell>
        </row>
        <row r="100">
          <cell r="A100">
            <v>0.30475550219247</v>
          </cell>
        </row>
        <row r="101">
          <cell r="A101">
            <v>0.181920028139719</v>
          </cell>
        </row>
        <row r="102">
          <cell r="A102">
            <v>0.274363899677317</v>
          </cell>
        </row>
        <row r="103">
          <cell r="A103">
            <v>0</v>
          </cell>
        </row>
        <row r="104">
          <cell r="A104">
            <v>0.15181913905775599</v>
          </cell>
        </row>
        <row r="105">
          <cell r="A105">
            <v>0.165918275803279</v>
          </cell>
        </row>
        <row r="106">
          <cell r="A106">
            <v>8.6948898815436299E-2</v>
          </cell>
        </row>
        <row r="107">
          <cell r="A107">
            <v>0.111610144525985</v>
          </cell>
        </row>
        <row r="108">
          <cell r="A108">
            <v>9.1065951677693296E-2</v>
          </cell>
        </row>
        <row r="109">
          <cell r="A109">
            <v>0.14499826566513499</v>
          </cell>
        </row>
        <row r="110">
          <cell r="A110">
            <v>3.73924120071236E-2</v>
          </cell>
        </row>
        <row r="111">
          <cell r="A111">
            <v>5.5539710618548503E-2</v>
          </cell>
        </row>
        <row r="112">
          <cell r="A112">
            <v>0.149593595427684</v>
          </cell>
        </row>
        <row r="113">
          <cell r="A113">
            <v>0.10586719641987601</v>
          </cell>
        </row>
        <row r="114">
          <cell r="A114">
            <v>6.3936892571758996E-2</v>
          </cell>
        </row>
        <row r="115">
          <cell r="A115">
            <v>2.9809455109509601E-2</v>
          </cell>
        </row>
        <row r="116">
          <cell r="A116">
            <v>0.15027650444323201</v>
          </cell>
        </row>
        <row r="117">
          <cell r="A117">
            <v>0.1009953237362</v>
          </cell>
        </row>
        <row r="118">
          <cell r="A118">
            <v>7.8513682179035302E-2</v>
          </cell>
        </row>
        <row r="119">
          <cell r="A119">
            <v>1.16383243950969E-2</v>
          </cell>
        </row>
        <row r="120">
          <cell r="A120">
            <v>9.0723680801944095E-2</v>
          </cell>
        </row>
        <row r="121">
          <cell r="A121">
            <v>4.7403299811458202E-2</v>
          </cell>
        </row>
        <row r="122">
          <cell r="A122">
            <v>8.5863409154202401E-4</v>
          </cell>
        </row>
        <row r="123">
          <cell r="A123">
            <v>7.1597847546761795E-2</v>
          </cell>
        </row>
        <row r="124">
          <cell r="A124">
            <v>5.6723282937856903E-2</v>
          </cell>
        </row>
        <row r="125">
          <cell r="A125">
            <v>5.09378771117074E-2</v>
          </cell>
        </row>
        <row r="126">
          <cell r="A126">
            <v>2.0971104373505901E-2</v>
          </cell>
        </row>
        <row r="127">
          <cell r="A127">
            <v>0.101288769596437</v>
          </cell>
        </row>
        <row r="128">
          <cell r="A128">
            <v>5.9985863264432497E-2</v>
          </cell>
        </row>
        <row r="129">
          <cell r="A129">
            <v>0.100670007833717</v>
          </cell>
        </row>
        <row r="130">
          <cell r="A130">
            <v>5.9337273047669198E-2</v>
          </cell>
        </row>
        <row r="131">
          <cell r="A131">
            <v>2.4271038867176499E-2</v>
          </cell>
        </row>
        <row r="132">
          <cell r="A132">
            <v>5.9949378448413103E-2</v>
          </cell>
        </row>
        <row r="133">
          <cell r="A133">
            <v>4.6572461800371903E-2</v>
          </cell>
        </row>
        <row r="134">
          <cell r="A134">
            <v>3.3027566442390001E-2</v>
          </cell>
        </row>
        <row r="135">
          <cell r="A135">
            <v>8.1037831346217198E-2</v>
          </cell>
        </row>
        <row r="136">
          <cell r="A136">
            <v>1.6587317467289302E-2</v>
          </cell>
        </row>
        <row r="137">
          <cell r="A137">
            <v>3.7790840818015002E-2</v>
          </cell>
        </row>
        <row r="138">
          <cell r="A138">
            <v>1.0071803186666299E-2</v>
          </cell>
        </row>
        <row r="139">
          <cell r="A139">
            <v>3.4998587903963603E-2</v>
          </cell>
        </row>
        <row r="140">
          <cell r="A140">
            <v>2.3297909994529901E-2</v>
          </cell>
        </row>
        <row r="141">
          <cell r="A141">
            <v>2.4851627597819E-2</v>
          </cell>
        </row>
        <row r="142">
          <cell r="A142">
            <v>2.7666965784865698E-2</v>
          </cell>
        </row>
        <row r="143">
          <cell r="A143">
            <v>6.4756409293652895E-2</v>
          </cell>
        </row>
        <row r="144">
          <cell r="A144">
            <v>7.3426848063007796E-2</v>
          </cell>
        </row>
        <row r="145">
          <cell r="A145">
            <v>4.4216400943824802E-3</v>
          </cell>
        </row>
        <row r="146">
          <cell r="A146">
            <v>9.0740980243297804E-3</v>
          </cell>
        </row>
        <row r="147">
          <cell r="A147">
            <v>5.5040165768121499E-2</v>
          </cell>
        </row>
        <row r="148">
          <cell r="A148">
            <v>5.1424342757982501E-2</v>
          </cell>
        </row>
        <row r="149">
          <cell r="A149">
            <v>1.8772342730163798E-2</v>
          </cell>
        </row>
        <row r="150">
          <cell r="A150">
            <v>3.7313013119064598E-2</v>
          </cell>
        </row>
        <row r="151">
          <cell r="A151">
            <v>8.8670098488384096E-3</v>
          </cell>
        </row>
        <row r="152">
          <cell r="A152">
            <v>1.9532735998883201E-2</v>
          </cell>
        </row>
        <row r="153">
          <cell r="A153">
            <v>4.7193448748498998E-2</v>
          </cell>
        </row>
        <row r="154">
          <cell r="A154">
            <v>1.33170459944911E-2</v>
          </cell>
        </row>
        <row r="155">
          <cell r="A155">
            <v>1.52095505344214E-2</v>
          </cell>
        </row>
        <row r="156">
          <cell r="A156">
            <v>2.0927972077035201E-2</v>
          </cell>
        </row>
        <row r="157">
          <cell r="A157">
            <v>9.3886292874362093E-3</v>
          </cell>
        </row>
        <row r="158">
          <cell r="A158">
            <v>1.46625980419048E-2</v>
          </cell>
        </row>
        <row r="159">
          <cell r="A159">
            <v>7.7135929945156504E-3</v>
          </cell>
        </row>
        <row r="160">
          <cell r="A160">
            <v>1.3036114371442101E-2</v>
          </cell>
        </row>
        <row r="161">
          <cell r="A161">
            <v>6.9317794050929001E-3</v>
          </cell>
        </row>
        <row r="162">
          <cell r="A162">
            <v>2.1609931632426398E-2</v>
          </cell>
        </row>
        <row r="163">
          <cell r="A163">
            <v>6.4268362604234302E-3</v>
          </cell>
        </row>
        <row r="164">
          <cell r="A164">
            <v>5.90499891471936E-3</v>
          </cell>
        </row>
        <row r="165">
          <cell r="A165">
            <v>3.47085699072906E-3</v>
          </cell>
        </row>
        <row r="166">
          <cell r="A166">
            <v>6.6119964846839798E-3</v>
          </cell>
        </row>
        <row r="167">
          <cell r="A167">
            <v>1.2701296665564301E-2</v>
          </cell>
        </row>
        <row r="168">
          <cell r="A168">
            <v>5.6035805321076196E-3</v>
          </cell>
        </row>
        <row r="169">
          <cell r="A169">
            <v>3.88989722440331E-3</v>
          </cell>
        </row>
        <row r="170">
          <cell r="A170">
            <v>4.1647228562392497E-3</v>
          </cell>
        </row>
        <row r="171">
          <cell r="A171">
            <v>6.5068351985386099E-3</v>
          </cell>
        </row>
        <row r="172">
          <cell r="A172">
            <v>3.43435211948837E-3</v>
          </cell>
        </row>
        <row r="173">
          <cell r="A173">
            <v>3.9737055890581704E-3</v>
          </cell>
        </row>
        <row r="174">
          <cell r="A174">
            <v>2.7609790414840499E-3</v>
          </cell>
        </row>
        <row r="175">
          <cell r="A175">
            <v>3.7573879275096199E-3</v>
          </cell>
        </row>
        <row r="176">
          <cell r="A176">
            <v>3.2553576801596599E-3</v>
          </cell>
        </row>
        <row r="177">
          <cell r="A177">
            <v>9.4971844359633597E-3</v>
          </cell>
        </row>
        <row r="178">
          <cell r="A178">
            <v>2.5950751886385402E-3</v>
          </cell>
        </row>
        <row r="179">
          <cell r="A179">
            <v>2.3141066213815198E-3</v>
          </cell>
        </row>
        <row r="180">
          <cell r="A180">
            <v>1.28432893804697E-2</v>
          </cell>
        </row>
        <row r="181">
          <cell r="A181">
            <v>3.1605672258487E-3</v>
          </cell>
        </row>
        <row r="182">
          <cell r="A182">
            <v>3.0761001012624702E-3</v>
          </cell>
        </row>
        <row r="183">
          <cell r="A183">
            <v>4.0964263941399501E-3</v>
          </cell>
        </row>
        <row r="184">
          <cell r="A184">
            <v>2.3573095230067002E-3</v>
          </cell>
        </row>
        <row r="185">
          <cell r="A185">
            <v>3.1340761863978901E-3</v>
          </cell>
        </row>
        <row r="186">
          <cell r="A186">
            <v>3.3674869298466201E-3</v>
          </cell>
        </row>
        <row r="187">
          <cell r="A187">
            <v>3.0274374519959802E-3</v>
          </cell>
        </row>
        <row r="188">
          <cell r="A188">
            <v>2.9932358497662798E-3</v>
          </cell>
        </row>
        <row r="189">
          <cell r="A189">
            <v>2.6375325425441599E-3</v>
          </cell>
        </row>
        <row r="190">
          <cell r="A190">
            <v>3.6981941848819701E-3</v>
          </cell>
        </row>
        <row r="191">
          <cell r="A191">
            <v>2.9394734034958801E-3</v>
          </cell>
        </row>
        <row r="192">
          <cell r="A192">
            <v>2.8507014746753799E-3</v>
          </cell>
        </row>
        <row r="193">
          <cell r="A193">
            <v>3.2259157070262598E-3</v>
          </cell>
        </row>
        <row r="194">
          <cell r="A194">
            <v>2.7595026075388799E-3</v>
          </cell>
        </row>
        <row r="195">
          <cell r="A195">
            <v>5.4965617747144303E-3</v>
          </cell>
        </row>
        <row r="196">
          <cell r="A196">
            <v>2.41603736757317E-3</v>
          </cell>
        </row>
        <row r="197">
          <cell r="A197">
            <v>3.0071295582330699E-3</v>
          </cell>
        </row>
        <row r="198">
          <cell r="A198">
            <v>2.0394605057014702E-3</v>
          </cell>
        </row>
        <row r="199">
          <cell r="A199">
            <v>3.1623892524173499E-3</v>
          </cell>
        </row>
        <row r="200">
          <cell r="A200">
            <v>1.8695914946943301E-3</v>
          </cell>
        </row>
        <row r="201">
          <cell r="A201">
            <v>3.1698397095642002E-3</v>
          </cell>
        </row>
        <row r="202">
          <cell r="A202">
            <v>2.0051193310960998E-3</v>
          </cell>
        </row>
        <row r="203">
          <cell r="A203">
            <v>2.63182687198729E-3</v>
          </cell>
        </row>
        <row r="204">
          <cell r="A204">
            <v>2.4333917879018402E-3</v>
          </cell>
        </row>
        <row r="205">
          <cell r="A205">
            <v>5.2786357681499302E-3</v>
          </cell>
        </row>
        <row r="206">
          <cell r="A206">
            <v>2.2896053898709E-3</v>
          </cell>
        </row>
        <row r="207">
          <cell r="A207">
            <v>2.56162498744077E-3</v>
          </cell>
        </row>
        <row r="208">
          <cell r="A208">
            <v>2.7413163296887101E-3</v>
          </cell>
        </row>
        <row r="209">
          <cell r="A209">
            <v>1.51052679605028E-3</v>
          </cell>
        </row>
        <row r="210">
          <cell r="A210">
            <v>3.0170250338511099E-3</v>
          </cell>
        </row>
        <row r="211">
          <cell r="A211">
            <v>2.90281845850114E-3</v>
          </cell>
        </row>
        <row r="212">
          <cell r="A212">
            <v>2.21961105296289E-3</v>
          </cell>
        </row>
        <row r="213">
          <cell r="A213">
            <v>3.3383962845560601E-3</v>
          </cell>
        </row>
        <row r="214">
          <cell r="A214">
            <v>4.6833821456857801E-3</v>
          </cell>
        </row>
        <row r="215">
          <cell r="A215">
            <v>1.32775612319838E-2</v>
          </cell>
        </row>
        <row r="216">
          <cell r="A216">
            <v>2.7656388222053602E-3</v>
          </cell>
        </row>
        <row r="217">
          <cell r="A217">
            <v>5.34799669074606E-3</v>
          </cell>
        </row>
        <row r="218">
          <cell r="A218">
            <v>1.73150491084379E-3</v>
          </cell>
        </row>
        <row r="219">
          <cell r="A219">
            <v>2.90034154284196E-3</v>
          </cell>
        </row>
        <row r="220">
          <cell r="A220">
            <v>2.4626610123435798E-3</v>
          </cell>
        </row>
        <row r="221">
          <cell r="A221">
            <v>5.2506826397127103E-3</v>
          </cell>
        </row>
        <row r="222">
          <cell r="A222">
            <v>2.77655038786301E-3</v>
          </cell>
        </row>
        <row r="223">
          <cell r="A223">
            <v>2.3516727562211599E-3</v>
          </cell>
        </row>
        <row r="224">
          <cell r="A224">
            <v>3.72056164309903E-3</v>
          </cell>
        </row>
        <row r="225">
          <cell r="A225">
            <v>1.8942724907706002E-2</v>
          </cell>
        </row>
        <row r="226">
          <cell r="A226">
            <v>2.33876615770279E-3</v>
          </cell>
        </row>
        <row r="227">
          <cell r="A227">
            <v>2.48026228593572E-3</v>
          </cell>
        </row>
        <row r="228">
          <cell r="A228">
            <v>2.15052399610867E-3</v>
          </cell>
        </row>
        <row r="229">
          <cell r="A229">
            <v>2.0320423212356101E-3</v>
          </cell>
        </row>
        <row r="230">
          <cell r="A230">
            <v>5.4075590390209004E-3</v>
          </cell>
        </row>
        <row r="231">
          <cell r="A231">
            <v>2.9638868114518199E-2</v>
          </cell>
        </row>
        <row r="232">
          <cell r="A232">
            <v>2.0782313524466398E-3</v>
          </cell>
        </row>
        <row r="233">
          <cell r="A233">
            <v>2.1187928573316302E-3</v>
          </cell>
        </row>
        <row r="234">
          <cell r="A234">
            <v>1.8188980559719702E-2</v>
          </cell>
        </row>
        <row r="235">
          <cell r="A235">
            <v>5.9606721590562101E-2</v>
          </cell>
        </row>
        <row r="236">
          <cell r="A236">
            <v>3.8538045651402002E-2</v>
          </cell>
        </row>
        <row r="237">
          <cell r="A237">
            <v>4.8061896227553198E-2</v>
          </cell>
        </row>
        <row r="238">
          <cell r="A238">
            <v>3.7636441007195001E-2</v>
          </cell>
        </row>
        <row r="239">
          <cell r="A239">
            <v>8.81141603159976E-2</v>
          </cell>
        </row>
        <row r="240">
          <cell r="A240">
            <v>1.1114996966607499E-2</v>
          </cell>
        </row>
        <row r="241">
          <cell r="A241">
            <v>3.3934046207528099E-3</v>
          </cell>
        </row>
        <row r="242">
          <cell r="A242">
            <v>1.0891260456154E-2</v>
          </cell>
        </row>
        <row r="243">
          <cell r="A243">
            <v>9.0785476482244595E-3</v>
          </cell>
        </row>
        <row r="244">
          <cell r="A244">
            <v>7.7267688047871598E-3</v>
          </cell>
        </row>
        <row r="245">
          <cell r="A245">
            <v>9.0132298971971406E-3</v>
          </cell>
        </row>
        <row r="246">
          <cell r="A246">
            <v>4.9485434455028999E-3</v>
          </cell>
        </row>
        <row r="247">
          <cell r="A247">
            <v>7.4711102882075399E-3</v>
          </cell>
        </row>
        <row r="248">
          <cell r="A248">
            <v>4.4015876435247198E-3</v>
          </cell>
        </row>
        <row r="249">
          <cell r="A249">
            <v>3.9599065160536304E-3</v>
          </cell>
        </row>
        <row r="250">
          <cell r="A250">
            <v>2.6355155369766799E-3</v>
          </cell>
        </row>
        <row r="251">
          <cell r="A251">
            <v>3.84466510517205E-3</v>
          </cell>
        </row>
        <row r="252">
          <cell r="A252">
            <v>2.9036322255645698E-3</v>
          </cell>
        </row>
        <row r="253">
          <cell r="A253">
            <v>2.2241425334105702E-3</v>
          </cell>
        </row>
        <row r="254">
          <cell r="A254">
            <v>3.6898574832100201E-3</v>
          </cell>
        </row>
        <row r="255">
          <cell r="A255">
            <v>2.0848162116732499E-3</v>
          </cell>
        </row>
        <row r="256">
          <cell r="A256">
            <v>3.3563992035871501E-3</v>
          </cell>
        </row>
        <row r="257">
          <cell r="A257">
            <v>1.8858412079111801E-3</v>
          </cell>
        </row>
        <row r="258">
          <cell r="A258">
            <v>3.0798100384323399E-3</v>
          </cell>
        </row>
        <row r="259">
          <cell r="A259">
            <v>2.18344329509047E-3</v>
          </cell>
        </row>
        <row r="260">
          <cell r="A260">
            <v>2.4256074023346901E-3</v>
          </cell>
        </row>
        <row r="261">
          <cell r="A261">
            <v>2.4904223699844402E-3</v>
          </cell>
        </row>
        <row r="262">
          <cell r="A262">
            <v>2.2147511246418698E-3</v>
          </cell>
        </row>
        <row r="263">
          <cell r="A263">
            <v>2.88743935000983E-3</v>
          </cell>
        </row>
        <row r="264">
          <cell r="A264">
            <v>2.1527556683077799E-3</v>
          </cell>
        </row>
        <row r="265">
          <cell r="A265">
            <v>1.88514354782702E-3</v>
          </cell>
        </row>
        <row r="266">
          <cell r="A266">
            <v>2.8864363117941001E-3</v>
          </cell>
        </row>
        <row r="267">
          <cell r="A267">
            <v>2.4197925708699299E-3</v>
          </cell>
        </row>
        <row r="268">
          <cell r="A268">
            <v>3.4207712377809598E-3</v>
          </cell>
        </row>
        <row r="269">
          <cell r="A269">
            <v>2.20098691605084E-3</v>
          </cell>
        </row>
        <row r="270">
          <cell r="A270">
            <v>2.7497515149186801E-3</v>
          </cell>
        </row>
        <row r="271">
          <cell r="A271">
            <v>2.5407462522244301E-3</v>
          </cell>
        </row>
        <row r="272">
          <cell r="A272">
            <v>2.7970687252876101E-3</v>
          </cell>
        </row>
        <row r="273">
          <cell r="A273">
            <v>3.0664884285554099E-3</v>
          </cell>
        </row>
        <row r="274">
          <cell r="A274">
            <v>3.2258631403684298E-3</v>
          </cell>
        </row>
        <row r="275">
          <cell r="A275">
            <v>1.85882544394896E-3</v>
          </cell>
        </row>
        <row r="276">
          <cell r="A276">
            <v>2.6190078856189801E-3</v>
          </cell>
        </row>
        <row r="277">
          <cell r="A277">
            <v>2.9365553698550901E-3</v>
          </cell>
        </row>
        <row r="278">
          <cell r="A278">
            <v>2.2696806309431298E-3</v>
          </cell>
        </row>
        <row r="279">
          <cell r="A279">
            <v>2.0025285655330899E-3</v>
          </cell>
        </row>
        <row r="280">
          <cell r="A280">
            <v>2.7491547163870701E-3</v>
          </cell>
        </row>
        <row r="281">
          <cell r="A281">
            <v>2.9608637554055998E-3</v>
          </cell>
        </row>
        <row r="282">
          <cell r="A282">
            <v>2.68796240751719E-3</v>
          </cell>
        </row>
        <row r="283">
          <cell r="A283">
            <v>2.63971723057801E-3</v>
          </cell>
        </row>
        <row r="284">
          <cell r="A284">
            <v>2.6136501957499001E-3</v>
          </cell>
        </row>
        <row r="285">
          <cell r="A285">
            <v>2.3466154161523199E-3</v>
          </cell>
        </row>
        <row r="286">
          <cell r="A286">
            <v>2.0878964485996601E-3</v>
          </cell>
        </row>
        <row r="287">
          <cell r="A287">
            <v>2.4086234157356099E-3</v>
          </cell>
        </row>
        <row r="288">
          <cell r="A288">
            <v>2.45975777026658E-3</v>
          </cell>
        </row>
        <row r="289">
          <cell r="A289">
            <v>2.4847581453369899E-3</v>
          </cell>
        </row>
        <row r="290">
          <cell r="A290">
            <v>1.2798741713572299E-3</v>
          </cell>
        </row>
        <row r="291">
          <cell r="A291">
            <v>2.21583446444418E-3</v>
          </cell>
        </row>
        <row r="292">
          <cell r="A292">
            <v>2.1900524411716501E-3</v>
          </cell>
        </row>
        <row r="293">
          <cell r="A293">
            <v>2.8934690761095601E-3</v>
          </cell>
        </row>
        <row r="294">
          <cell r="A294">
            <v>2.7872850021952501E-3</v>
          </cell>
        </row>
        <row r="295">
          <cell r="A295">
            <v>2.2654952681138599E-3</v>
          </cell>
        </row>
        <row r="296">
          <cell r="A296">
            <v>2.5893584441856001E-3</v>
          </cell>
        </row>
        <row r="297">
          <cell r="A297">
            <v>3.1284926171918099E-3</v>
          </cell>
        </row>
        <row r="298">
          <cell r="A298">
            <v>2.5069147860372599E-3</v>
          </cell>
        </row>
        <row r="299">
          <cell r="A299">
            <v>2.92464439451696E-3</v>
          </cell>
        </row>
        <row r="300">
          <cell r="A300">
            <v>2.5014150728743202E-3</v>
          </cell>
        </row>
        <row r="301">
          <cell r="A301">
            <v>2.3123876279132699E-3</v>
          </cell>
        </row>
        <row r="302">
          <cell r="A302">
            <v>1.75886616307854E-3</v>
          </cell>
        </row>
        <row r="303">
          <cell r="A303">
            <v>2.16937354984958E-3</v>
          </cell>
        </row>
        <row r="304">
          <cell r="A304">
            <v>3.68397941223195E-3</v>
          </cell>
        </row>
        <row r="305">
          <cell r="A305">
            <v>1.99400280690937E-3</v>
          </cell>
        </row>
        <row r="306">
          <cell r="A306">
            <v>2.46005525446018E-3</v>
          </cell>
        </row>
        <row r="307">
          <cell r="A307">
            <v>2.49870873897472E-3</v>
          </cell>
        </row>
        <row r="308">
          <cell r="A308">
            <v>2.6342429226185299E-3</v>
          </cell>
        </row>
        <row r="309">
          <cell r="A309">
            <v>3.1545825320595001E-3</v>
          </cell>
        </row>
        <row r="310">
          <cell r="A310">
            <v>2.8549367594902998E-3</v>
          </cell>
        </row>
        <row r="311">
          <cell r="A311">
            <v>2.0375825661769899E-3</v>
          </cell>
        </row>
        <row r="312">
          <cell r="A312">
            <v>1.22984553964865E-3</v>
          </cell>
        </row>
        <row r="313">
          <cell r="A313">
            <v>2.1406607212893299E-3</v>
          </cell>
        </row>
        <row r="314">
          <cell r="A314">
            <v>1.8243456342147801E-3</v>
          </cell>
        </row>
        <row r="315">
          <cell r="A315">
            <v>2.2629558912754602E-3</v>
          </cell>
        </row>
        <row r="316">
          <cell r="A316">
            <v>2.9948543631355901E-3</v>
          </cell>
        </row>
        <row r="317">
          <cell r="A317">
            <v>3.84466394214396E-3</v>
          </cell>
        </row>
        <row r="318">
          <cell r="A318">
            <v>2.09051974268541E-3</v>
          </cell>
        </row>
        <row r="319">
          <cell r="A319">
            <v>2.1943904005247098E-3</v>
          </cell>
        </row>
        <row r="320">
          <cell r="A320">
            <v>3.1003340580593301E-3</v>
          </cell>
        </row>
        <row r="321">
          <cell r="A321">
            <v>2.2335074445341599E-3</v>
          </cell>
        </row>
        <row r="322">
          <cell r="A322">
            <v>1.9621674658677202E-3</v>
          </cell>
        </row>
        <row r="323">
          <cell r="A323">
            <v>1.7932965776779599E-3</v>
          </cell>
        </row>
        <row r="324">
          <cell r="A324">
            <v>2.9412660769727499E-3</v>
          </cell>
        </row>
        <row r="325">
          <cell r="A325">
            <v>2.1210958602243101E-3</v>
          </cell>
        </row>
        <row r="326">
          <cell r="A326">
            <v>2.6006149209292198E-3</v>
          </cell>
        </row>
        <row r="327">
          <cell r="A327">
            <v>2.3379508882765401E-3</v>
          </cell>
        </row>
        <row r="328">
          <cell r="A328">
            <v>2.5685249074212102E-3</v>
          </cell>
        </row>
        <row r="329">
          <cell r="A329">
            <v>1.8699604855185201E-3</v>
          </cell>
        </row>
        <row r="330">
          <cell r="A330">
            <v>2.0426081533275798E-3</v>
          </cell>
        </row>
        <row r="331">
          <cell r="A331">
            <v>2.3833182639943998E-3</v>
          </cell>
        </row>
        <row r="332">
          <cell r="A332">
            <v>2.5968607223961198E-3</v>
          </cell>
        </row>
        <row r="333">
          <cell r="A333">
            <v>1.2417790678061499E-3</v>
          </cell>
        </row>
        <row r="334">
          <cell r="A334">
            <v>2.6228063674740699E-3</v>
          </cell>
        </row>
        <row r="335">
          <cell r="A335">
            <v>2.3264476551470999E-3</v>
          </cell>
        </row>
        <row r="336">
          <cell r="A336">
            <v>2.5395467866506198E-3</v>
          </cell>
        </row>
        <row r="337">
          <cell r="A337">
            <v>2.1507162919894999E-3</v>
          </cell>
        </row>
        <row r="338">
          <cell r="A338">
            <v>2.8180631346643699E-3</v>
          </cell>
        </row>
        <row r="339">
          <cell r="A339">
            <v>3.3743006696210398E-3</v>
          </cell>
        </row>
        <row r="340">
          <cell r="A340">
            <v>2.6053080740673301E-3</v>
          </cell>
        </row>
        <row r="341">
          <cell r="A341">
            <v>1.7470732133137701E-3</v>
          </cell>
        </row>
        <row r="342">
          <cell r="A342">
            <v>2.2272647021811601E-3</v>
          </cell>
        </row>
        <row r="343">
          <cell r="A343">
            <v>2.6524962242844901E-3</v>
          </cell>
        </row>
        <row r="344">
          <cell r="A344">
            <v>2.7834210983972299E-3</v>
          </cell>
        </row>
        <row r="345">
          <cell r="A345">
            <v>3.0723133172894002E-3</v>
          </cell>
        </row>
        <row r="346">
          <cell r="A346">
            <v>3.0003236372466999E-3</v>
          </cell>
        </row>
        <row r="347">
          <cell r="A347">
            <v>2.1286276236224901E-3</v>
          </cell>
        </row>
        <row r="348">
          <cell r="A348">
            <v>1.86189039063389E-3</v>
          </cell>
        </row>
        <row r="349">
          <cell r="A349">
            <v>9.6166897168357003E-4</v>
          </cell>
        </row>
        <row r="350">
          <cell r="A350">
            <v>3.4338855376999E-3</v>
          </cell>
        </row>
        <row r="351">
          <cell r="A351">
            <v>1.66111623177578E-3</v>
          </cell>
        </row>
        <row r="352">
          <cell r="A352">
            <v>2.96696679974087E-3</v>
          </cell>
        </row>
        <row r="353">
          <cell r="A353">
            <v>2.4781749474752598E-3</v>
          </cell>
        </row>
        <row r="354">
          <cell r="A354">
            <v>2.56058155235395E-3</v>
          </cell>
        </row>
        <row r="355">
          <cell r="A355">
            <v>2.0697742084740201E-3</v>
          </cell>
        </row>
        <row r="356">
          <cell r="A356">
            <v>2.82454533811511E-3</v>
          </cell>
        </row>
        <row r="357">
          <cell r="A357">
            <v>2.1884229100455001E-3</v>
          </cell>
        </row>
        <row r="358">
          <cell r="A358">
            <v>2.6715257681416298E-3</v>
          </cell>
        </row>
        <row r="359">
          <cell r="A359">
            <v>2.3269272935017198E-3</v>
          </cell>
        </row>
        <row r="360">
          <cell r="A360">
            <v>2.1465573400852602E-3</v>
          </cell>
        </row>
        <row r="361">
          <cell r="A361">
            <v>3.1776893675459399E-3</v>
          </cell>
        </row>
        <row r="362">
          <cell r="A362">
            <v>2.9695253671524202E-3</v>
          </cell>
        </row>
        <row r="363">
          <cell r="A363">
            <v>2.7496078152100699E-3</v>
          </cell>
        </row>
        <row r="364">
          <cell r="A364">
            <v>2.4589523588065499E-3</v>
          </cell>
        </row>
        <row r="365">
          <cell r="A365">
            <v>1.9304342433279101E-3</v>
          </cell>
        </row>
        <row r="366">
          <cell r="A366">
            <v>3.6875703409240601E-3</v>
          </cell>
        </row>
        <row r="367">
          <cell r="A367">
            <v>2.6428973441275502E-3</v>
          </cell>
        </row>
        <row r="368">
          <cell r="A368">
            <v>2.6734490973222202E-3</v>
          </cell>
        </row>
        <row r="369">
          <cell r="A369">
            <v>2.3377840802231899E-3</v>
          </cell>
        </row>
        <row r="370">
          <cell r="A370">
            <v>1.9068511996354E-3</v>
          </cell>
        </row>
        <row r="371">
          <cell r="A371">
            <v>1.6263713229476399E-3</v>
          </cell>
        </row>
        <row r="372">
          <cell r="A372">
            <v>1.6516608988291399E-3</v>
          </cell>
        </row>
        <row r="373">
          <cell r="A373">
            <v>1.9088529398205399E-3</v>
          </cell>
        </row>
        <row r="374">
          <cell r="A374">
            <v>3.83540652339948E-3</v>
          </cell>
        </row>
        <row r="375">
          <cell r="A375">
            <v>1.80963695827022E-3</v>
          </cell>
        </row>
        <row r="376">
          <cell r="A376">
            <v>2.8578585437620601E-3</v>
          </cell>
        </row>
        <row r="377">
          <cell r="A377">
            <v>2.5650211987048701E-3</v>
          </cell>
        </row>
        <row r="378">
          <cell r="A378">
            <v>2.3576211655208399E-3</v>
          </cell>
        </row>
        <row r="379">
          <cell r="A379">
            <v>1.6759256054508999E-3</v>
          </cell>
        </row>
        <row r="380">
          <cell r="A380">
            <v>1.74062517634295E-3</v>
          </cell>
        </row>
        <row r="381">
          <cell r="A381">
            <v>2.0629056195054099E-3</v>
          </cell>
        </row>
        <row r="382">
          <cell r="A382">
            <v>2.7413165383375301E-3</v>
          </cell>
        </row>
        <row r="383">
          <cell r="A383">
            <v>2.9508825980743298E-3</v>
          </cell>
        </row>
        <row r="384">
          <cell r="A384">
            <v>2.6719414559768298E-3</v>
          </cell>
        </row>
        <row r="385">
          <cell r="A385">
            <v>2.2901606632067602E-3</v>
          </cell>
        </row>
        <row r="386">
          <cell r="A386">
            <v>2.3504046827440999E-3</v>
          </cell>
        </row>
        <row r="387">
          <cell r="A387">
            <v>2.54513489190689E-3</v>
          </cell>
        </row>
        <row r="388">
          <cell r="A388">
            <v>2.5464238999265902E-3</v>
          </cell>
        </row>
        <row r="389">
          <cell r="A389">
            <v>1.7619352710499701E-3</v>
          </cell>
        </row>
        <row r="390">
          <cell r="A390">
            <v>2.4928776090645099E-3</v>
          </cell>
        </row>
        <row r="391">
          <cell r="A391">
            <v>2.0207579460029298E-3</v>
          </cell>
        </row>
        <row r="392">
          <cell r="A392">
            <v>2.0636496032225E-3</v>
          </cell>
        </row>
        <row r="393">
          <cell r="A393">
            <v>1.8250729518220199E-3</v>
          </cell>
        </row>
        <row r="394">
          <cell r="A394">
            <v>2.3480469398572002E-3</v>
          </cell>
        </row>
        <row r="395">
          <cell r="A395">
            <v>2.6662141672670701E-3</v>
          </cell>
        </row>
        <row r="396">
          <cell r="A396">
            <v>3.0591054713613301E-3</v>
          </cell>
        </row>
        <row r="397">
          <cell r="A397">
            <v>2.8294378499103098E-3</v>
          </cell>
        </row>
        <row r="398">
          <cell r="A398">
            <v>2.17361148239827E-3</v>
          </cell>
        </row>
        <row r="399">
          <cell r="A399">
            <v>2.3573185466101202E-3</v>
          </cell>
        </row>
        <row r="400">
          <cell r="A400">
            <v>2.3981103445547699E-3</v>
          </cell>
        </row>
        <row r="401">
          <cell r="A401">
            <v>3.2322420544443498E-3</v>
          </cell>
        </row>
        <row r="402">
          <cell r="A402">
            <v>1.9062655718802099E-3</v>
          </cell>
        </row>
        <row r="403">
          <cell r="A403">
            <v>1.9172834565873501E-3</v>
          </cell>
        </row>
        <row r="404">
          <cell r="A404">
            <v>1.70761534557186E-3</v>
          </cell>
        </row>
        <row r="405">
          <cell r="A405">
            <v>4.4956503683706902E-3</v>
          </cell>
        </row>
        <row r="406">
          <cell r="A406">
            <v>3.4072659880605401E-3</v>
          </cell>
        </row>
        <row r="407">
          <cell r="A407">
            <v>1.8633662485350699E-3</v>
          </cell>
        </row>
        <row r="408">
          <cell r="A408">
            <v>1.54709251382597E-3</v>
          </cell>
        </row>
        <row r="409">
          <cell r="A409">
            <v>2.0576750919705498E-3</v>
          </cell>
        </row>
        <row r="410">
          <cell r="A410">
            <v>1.3304094805354401E-3</v>
          </cell>
        </row>
        <row r="411">
          <cell r="A411">
            <v>3.42531216682457E-3</v>
          </cell>
        </row>
        <row r="412">
          <cell r="A412">
            <v>3.08676880311088E-3</v>
          </cell>
        </row>
        <row r="413">
          <cell r="A413">
            <v>2.5665395613423702E-3</v>
          </cell>
        </row>
        <row r="414">
          <cell r="A414">
            <v>1.8751397754725801E-3</v>
          </cell>
        </row>
        <row r="415">
          <cell r="A415">
            <v>2.5271831838400401E-3</v>
          </cell>
        </row>
        <row r="416">
          <cell r="A416">
            <v>2.1655125346555699E-3</v>
          </cell>
        </row>
        <row r="417">
          <cell r="A417">
            <v>3.2485613937317599E-3</v>
          </cell>
        </row>
        <row r="418">
          <cell r="A418">
            <v>1.79266635693082E-3</v>
          </cell>
        </row>
        <row r="419">
          <cell r="A419">
            <v>2.18931967734067E-3</v>
          </cell>
        </row>
        <row r="420">
          <cell r="A420">
            <v>2.3568906812641401E-3</v>
          </cell>
        </row>
        <row r="421">
          <cell r="A421">
            <v>2.4558999571503799E-3</v>
          </cell>
        </row>
        <row r="422">
          <cell r="A422">
            <v>3.0171410349522899E-3</v>
          </cell>
        </row>
        <row r="423">
          <cell r="A423">
            <v>2.1991883262215098E-3</v>
          </cell>
        </row>
        <row r="424">
          <cell r="A424">
            <v>1.80599970969005E-3</v>
          </cell>
        </row>
        <row r="425">
          <cell r="A425">
            <v>3.0695051995991698E-3</v>
          </cell>
        </row>
        <row r="426">
          <cell r="A426">
            <v>2.7578933390431399E-3</v>
          </cell>
        </row>
        <row r="427">
          <cell r="A427">
            <v>2.4822768542480801E-3</v>
          </cell>
        </row>
        <row r="428">
          <cell r="A428">
            <v>1.9504017406524201E-3</v>
          </cell>
        </row>
        <row r="429">
          <cell r="A429">
            <v>8.7432087446540595E-4</v>
          </cell>
        </row>
        <row r="430">
          <cell r="A430">
            <v>2.8756254531259501E-3</v>
          </cell>
        </row>
        <row r="431">
          <cell r="A431">
            <v>4.06170206956774E-3</v>
          </cell>
        </row>
        <row r="432">
          <cell r="A432">
            <v>3.19207346247972E-3</v>
          </cell>
        </row>
        <row r="433">
          <cell r="A433">
            <v>2.2662023010496502E-3</v>
          </cell>
        </row>
        <row r="434">
          <cell r="A434">
            <v>2.0158271973296201E-3</v>
          </cell>
        </row>
        <row r="435">
          <cell r="A435">
            <v>3.0016450410071398E-3</v>
          </cell>
        </row>
        <row r="436">
          <cell r="A436">
            <v>2.8637259840754198E-3</v>
          </cell>
        </row>
        <row r="437">
          <cell r="A437">
            <v>2.3094035232336901E-3</v>
          </cell>
        </row>
        <row r="438">
          <cell r="A438">
            <v>2.27176651947535E-3</v>
          </cell>
        </row>
        <row r="439">
          <cell r="A439">
            <v>1.9399264049673899E-3</v>
          </cell>
        </row>
        <row r="440">
          <cell r="A440">
            <v>3.0772640215156002E-3</v>
          </cell>
        </row>
        <row r="441">
          <cell r="A441">
            <v>2.5269857865705099E-3</v>
          </cell>
        </row>
        <row r="442">
          <cell r="A442">
            <v>2.0959332721579402E-3</v>
          </cell>
        </row>
        <row r="443">
          <cell r="A443">
            <v>2.1427511999640098E-3</v>
          </cell>
        </row>
        <row r="444">
          <cell r="A444">
            <v>2.3326771404823302E-3</v>
          </cell>
        </row>
        <row r="445">
          <cell r="A445">
            <v>3.00014943427902E-3</v>
          </cell>
        </row>
        <row r="446">
          <cell r="A446">
            <v>2.52520312013013E-3</v>
          </cell>
        </row>
        <row r="447">
          <cell r="A447">
            <v>2.7958318294622701E-3</v>
          </cell>
        </row>
        <row r="448">
          <cell r="A448">
            <v>1.9310429055501999E-3</v>
          </cell>
        </row>
        <row r="449">
          <cell r="A449">
            <v>2.9547015764219801E-3</v>
          </cell>
        </row>
        <row r="450">
          <cell r="A450">
            <v>1.6045246212958301E-3</v>
          </cell>
        </row>
        <row r="451">
          <cell r="A451">
            <v>2.7363145572715801E-3</v>
          </cell>
        </row>
        <row r="452">
          <cell r="A452">
            <v>3.10805330414019E-3</v>
          </cell>
        </row>
        <row r="453">
          <cell r="A453">
            <v>2.9489888690599499E-3</v>
          </cell>
        </row>
        <row r="454">
          <cell r="A454">
            <v>3.40219727914691E-3</v>
          </cell>
        </row>
        <row r="455">
          <cell r="A455">
            <v>2.4397655583273401E-3</v>
          </cell>
        </row>
        <row r="456">
          <cell r="A456">
            <v>1.96441751337502E-3</v>
          </cell>
        </row>
        <row r="457">
          <cell r="A457">
            <v>2.8077803938056901E-3</v>
          </cell>
        </row>
        <row r="458">
          <cell r="A458">
            <v>1.73547325559491E-3</v>
          </cell>
        </row>
        <row r="459">
          <cell r="A459">
            <v>1.9690975346332898E-3</v>
          </cell>
        </row>
        <row r="460">
          <cell r="A460">
            <v>1.98143140139832E-3</v>
          </cell>
        </row>
        <row r="461">
          <cell r="A461">
            <v>2.9782787818872598E-3</v>
          </cell>
        </row>
        <row r="462">
          <cell r="A462">
            <v>2.1330835282530299E-3</v>
          </cell>
        </row>
        <row r="463">
          <cell r="A463">
            <v>2.85579743396517E-3</v>
          </cell>
        </row>
        <row r="464">
          <cell r="A464">
            <v>3.5583979349805002E-3</v>
          </cell>
        </row>
        <row r="465">
          <cell r="A465">
            <v>1.6687882896395799E-3</v>
          </cell>
        </row>
        <row r="466">
          <cell r="A466">
            <v>1.6717447874431499E-3</v>
          </cell>
        </row>
        <row r="467">
          <cell r="A467">
            <v>3.3746667762297598E-3</v>
          </cell>
        </row>
        <row r="468">
          <cell r="A468">
            <v>3.1489699181912602E-3</v>
          </cell>
        </row>
        <row r="469">
          <cell r="A469">
            <v>2.3192738767801899E-3</v>
          </cell>
        </row>
        <row r="470">
          <cell r="A470">
            <v>2.1455573652843802E-3</v>
          </cell>
        </row>
        <row r="471">
          <cell r="A471">
            <v>2.6264042795202001E-3</v>
          </cell>
        </row>
        <row r="472">
          <cell r="A472">
            <v>2.5248822252576502E-3</v>
          </cell>
        </row>
        <row r="473">
          <cell r="A473">
            <v>3.1262136853428498E-3</v>
          </cell>
        </row>
        <row r="474">
          <cell r="A474">
            <v>2.5107951616552202E-3</v>
          </cell>
        </row>
        <row r="475">
          <cell r="A475">
            <v>3.2650899623008602E-3</v>
          </cell>
        </row>
        <row r="476">
          <cell r="A476">
            <v>2.9759243447938198E-3</v>
          </cell>
        </row>
        <row r="477">
          <cell r="A477">
            <v>2.1735032807823399E-3</v>
          </cell>
        </row>
        <row r="478">
          <cell r="A478">
            <v>2.9442335373523398E-3</v>
          </cell>
        </row>
        <row r="479">
          <cell r="A479">
            <v>3.0956214553940699E-3</v>
          </cell>
        </row>
        <row r="480">
          <cell r="A480">
            <v>2.5778125426225099E-3</v>
          </cell>
        </row>
        <row r="481">
          <cell r="A481">
            <v>2.0848386705252702E-3</v>
          </cell>
        </row>
        <row r="482">
          <cell r="A482">
            <v>2.84857017545835E-3</v>
          </cell>
        </row>
        <row r="483">
          <cell r="A483">
            <v>2.4058168671092601E-3</v>
          </cell>
        </row>
        <row r="484">
          <cell r="A484">
            <v>3.0897515744270701E-3</v>
          </cell>
        </row>
        <row r="485">
          <cell r="A485">
            <v>3.3973835761819901E-3</v>
          </cell>
        </row>
        <row r="486">
          <cell r="A486">
            <v>2.97310294984875E-3</v>
          </cell>
        </row>
        <row r="487">
          <cell r="A487">
            <v>2.3446072986945802E-3</v>
          </cell>
        </row>
        <row r="488">
          <cell r="A488">
            <v>1.92204935174696E-3</v>
          </cell>
        </row>
        <row r="489">
          <cell r="A489">
            <v>2.8769471669553002E-3</v>
          </cell>
        </row>
        <row r="490">
          <cell r="A490">
            <v>2.7998905091237499E-3</v>
          </cell>
        </row>
        <row r="491">
          <cell r="A491">
            <v>3.02763306170968E-3</v>
          </cell>
        </row>
        <row r="492">
          <cell r="A492">
            <v>2.3509348568760799E-3</v>
          </cell>
        </row>
        <row r="493">
          <cell r="A493">
            <v>3.3882160016041802E-3</v>
          </cell>
        </row>
        <row r="494">
          <cell r="A494">
            <v>2.23416184714402E-3</v>
          </cell>
        </row>
        <row r="495">
          <cell r="A495">
            <v>2.4657191070248099E-3</v>
          </cell>
        </row>
        <row r="496">
          <cell r="A496">
            <v>2.68285804492951E-3</v>
          </cell>
        </row>
        <row r="497">
          <cell r="A497">
            <v>2.0104552469947701E-3</v>
          </cell>
        </row>
        <row r="498">
          <cell r="A498">
            <v>2.7552264487549802E-3</v>
          </cell>
        </row>
        <row r="499">
          <cell r="A499">
            <v>3.0420683680702299E-3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tabSelected="1" topLeftCell="A2" workbookViewId="0">
      <selection activeCell="E34" sqref="E34"/>
    </sheetView>
  </sheetViews>
  <sheetFormatPr defaultRowHeight="15" x14ac:dyDescent="0.25"/>
  <cols>
    <col min="2" max="2" width="20.28515625" bestFit="1" customWidth="1"/>
    <col min="3" max="3" width="20.28515625" customWidth="1"/>
    <col min="4" max="4" width="21.85546875" bestFit="1" customWidth="1"/>
    <col min="5" max="5" width="14.140625" bestFit="1" customWidth="1"/>
    <col min="6" max="6" width="12" bestFit="1" customWidth="1"/>
    <col min="7" max="7" width="11" customWidth="1"/>
  </cols>
  <sheetData>
    <row r="1" spans="1:6" x14ac:dyDescent="0.25">
      <c r="A1" s="2" t="s">
        <v>3</v>
      </c>
      <c r="B1">
        <v>200</v>
      </c>
      <c r="C1" s="2" t="s">
        <v>7</v>
      </c>
      <c r="D1">
        <v>0.66616012487499998</v>
      </c>
    </row>
    <row r="3" spans="1:6" ht="18" x14ac:dyDescent="0.35">
      <c r="A3" s="3" t="s">
        <v>1</v>
      </c>
      <c r="B3" s="3" t="s">
        <v>0</v>
      </c>
      <c r="C3" s="3" t="s">
        <v>2</v>
      </c>
      <c r="D3" s="3" t="s">
        <v>4</v>
      </c>
      <c r="E3" s="3" t="s">
        <v>6</v>
      </c>
      <c r="F3" s="3" t="s">
        <v>5</v>
      </c>
    </row>
    <row r="4" spans="1:6" x14ac:dyDescent="0.25">
      <c r="A4" s="4">
        <v>0</v>
      </c>
      <c r="B4" s="4">
        <v>170</v>
      </c>
      <c r="C4" s="4">
        <v>3000</v>
      </c>
      <c r="D4" s="4">
        <v>1.8523707219951699E-3</v>
      </c>
      <c r="E4" s="4">
        <v>0.98523989604679196</v>
      </c>
      <c r="F4" s="5">
        <v>-8.1951611083141897E-4</v>
      </c>
    </row>
    <row r="5" spans="1:6" x14ac:dyDescent="0.25">
      <c r="A5" s="4">
        <v>1</v>
      </c>
      <c r="B5" s="4">
        <v>137</v>
      </c>
      <c r="C5" s="4">
        <v>6300</v>
      </c>
      <c r="D5" s="4">
        <v>7.5097155894098197E-3</v>
      </c>
      <c r="E5" s="4">
        <v>0.97719806468707304</v>
      </c>
      <c r="F5" s="4">
        <v>-3.6281739877806699E-3</v>
      </c>
    </row>
    <row r="6" spans="1:6" x14ac:dyDescent="0.25">
      <c r="A6" s="4">
        <v>2</v>
      </c>
      <c r="B6" s="4">
        <v>181</v>
      </c>
      <c r="C6" s="4">
        <v>1900</v>
      </c>
      <c r="D6" s="4">
        <v>1.5360055797588501E-3</v>
      </c>
      <c r="E6" s="4">
        <v>0.98624598171574895</v>
      </c>
      <c r="F6" s="4">
        <v>4.5989107833585502E-3</v>
      </c>
    </row>
    <row r="7" spans="1:6" x14ac:dyDescent="0.25">
      <c r="A7" s="4">
        <v>3</v>
      </c>
      <c r="B7" s="4">
        <v>126</v>
      </c>
      <c r="C7" s="4">
        <v>7400</v>
      </c>
      <c r="D7" s="4">
        <v>7.6036266627939001E-3</v>
      </c>
      <c r="E7" s="4">
        <v>0.97670172489117502</v>
      </c>
      <c r="F7" s="4">
        <v>-4.6405229793171797E-3</v>
      </c>
    </row>
    <row r="8" spans="1:6" x14ac:dyDescent="0.25">
      <c r="A8" s="4">
        <v>4</v>
      </c>
      <c r="B8" s="4">
        <v>125</v>
      </c>
      <c r="C8" s="4">
        <v>7500</v>
      </c>
      <c r="D8" s="4">
        <v>1.1298527784321499E-2</v>
      </c>
      <c r="E8" s="4">
        <v>0.97032666844642002</v>
      </c>
      <c r="F8" s="4">
        <v>-1.0926191401774399E-3</v>
      </c>
    </row>
    <row r="9" spans="1:6" x14ac:dyDescent="0.25">
      <c r="A9" s="4">
        <v>5</v>
      </c>
      <c r="B9" s="4">
        <v>148</v>
      </c>
      <c r="C9" s="4">
        <v>5200</v>
      </c>
      <c r="D9" s="4">
        <v>3.1142204505240001E-3</v>
      </c>
      <c r="E9" s="4">
        <v>0.98349052378916901</v>
      </c>
      <c r="F9" s="4">
        <v>-3.8592048051273001E-3</v>
      </c>
    </row>
    <row r="10" spans="1:6" x14ac:dyDescent="0.25">
      <c r="A10" s="4">
        <v>6</v>
      </c>
      <c r="B10" s="4">
        <v>126</v>
      </c>
      <c r="C10" s="4">
        <v>7400</v>
      </c>
      <c r="D10" s="4">
        <v>7.0615886354039497E-3</v>
      </c>
      <c r="E10" s="4">
        <v>0.97771298901798198</v>
      </c>
      <c r="F10" s="4">
        <v>-5.2609140308685302E-3</v>
      </c>
    </row>
    <row r="11" spans="1:6" x14ac:dyDescent="0.25">
      <c r="A11">
        <v>7</v>
      </c>
      <c r="B11">
        <v>122</v>
      </c>
      <c r="C11">
        <v>7800</v>
      </c>
      <c r="D11">
        <v>8.5155379950184705E-3</v>
      </c>
      <c r="E11">
        <v>0.97450978122625498</v>
      </c>
      <c r="F11">
        <v>-3.4882202136190901E-3</v>
      </c>
    </row>
    <row r="12" spans="1:6" x14ac:dyDescent="0.25">
      <c r="A12">
        <v>8</v>
      </c>
      <c r="B12">
        <v>133</v>
      </c>
      <c r="C12">
        <v>6700</v>
      </c>
      <c r="D12">
        <v>6.9976495086089196E-3</v>
      </c>
      <c r="E12">
        <v>0.97860156174194501</v>
      </c>
      <c r="F12">
        <v>-3.7796113035970498E-3</v>
      </c>
    </row>
    <row r="13" spans="1:6" x14ac:dyDescent="0.25">
      <c r="A13">
        <v>9</v>
      </c>
      <c r="B13">
        <v>131</v>
      </c>
      <c r="C13">
        <v>6900</v>
      </c>
      <c r="D13">
        <v>6.2666107526686502E-3</v>
      </c>
      <c r="E13">
        <v>0.978071947706462</v>
      </c>
      <c r="F13">
        <v>-2.3133702247160599E-3</v>
      </c>
    </row>
    <row r="14" spans="1:6" x14ac:dyDescent="0.25">
      <c r="A14">
        <v>10</v>
      </c>
      <c r="B14">
        <v>138</v>
      </c>
      <c r="C14">
        <v>6200</v>
      </c>
      <c r="D14">
        <v>5.6383760328239099E-3</v>
      </c>
      <c r="E14">
        <v>0.97965955248374603</v>
      </c>
      <c r="F14">
        <v>-5.5167273454262899E-3</v>
      </c>
    </row>
    <row r="15" spans="1:6" x14ac:dyDescent="0.25">
      <c r="A15">
        <v>11</v>
      </c>
      <c r="B15">
        <v>131</v>
      </c>
      <c r="C15">
        <v>6900</v>
      </c>
      <c r="D15">
        <v>8.2053388868654695E-3</v>
      </c>
      <c r="E15">
        <v>0.97539502209548401</v>
      </c>
      <c r="F15">
        <v>-5.6387585042915103E-3</v>
      </c>
    </row>
    <row r="16" spans="1:6" x14ac:dyDescent="0.25">
      <c r="A16">
        <v>12</v>
      </c>
      <c r="B16">
        <v>156</v>
      </c>
      <c r="C16">
        <v>4400</v>
      </c>
      <c r="D16">
        <v>2.0650074253534198E-3</v>
      </c>
      <c r="E16">
        <v>0.98559468542766304</v>
      </c>
      <c r="F16">
        <v>1.5256660666840801E-3</v>
      </c>
    </row>
    <row r="17" spans="1:6" x14ac:dyDescent="0.25">
      <c r="A17">
        <v>13</v>
      </c>
      <c r="B17">
        <v>116</v>
      </c>
      <c r="C17">
        <v>8400</v>
      </c>
      <c r="D17">
        <v>9.3690177927275801E-3</v>
      </c>
      <c r="E17">
        <v>0.974645278944686</v>
      </c>
      <c r="F17">
        <v>-6.9065711255477296E-3</v>
      </c>
    </row>
    <row r="18" spans="1:6" x14ac:dyDescent="0.25">
      <c r="A18">
        <v>14</v>
      </c>
      <c r="B18">
        <v>120</v>
      </c>
      <c r="C18">
        <v>8000</v>
      </c>
      <c r="D18">
        <v>9.39335485355197E-3</v>
      </c>
      <c r="E18">
        <v>0.97418409945204198</v>
      </c>
      <c r="F18">
        <v>-5.3800626782685703E-3</v>
      </c>
    </row>
    <row r="19" spans="1:6" x14ac:dyDescent="0.25">
      <c r="A19">
        <v>15</v>
      </c>
      <c r="B19">
        <v>207</v>
      </c>
      <c r="C19">
        <v>-700</v>
      </c>
      <c r="D19" s="1">
        <v>-6.7797099511324101E-4</v>
      </c>
      <c r="E19">
        <v>0.98776643866870995</v>
      </c>
      <c r="F19">
        <v>1.0149237931544001E-3</v>
      </c>
    </row>
    <row r="20" spans="1:6" x14ac:dyDescent="0.25">
      <c r="A20">
        <v>16</v>
      </c>
      <c r="B20">
        <v>158</v>
      </c>
      <c r="C20">
        <v>4200</v>
      </c>
      <c r="D20">
        <v>3.6194612504221102E-3</v>
      </c>
      <c r="E20">
        <v>0.98298481349828104</v>
      </c>
      <c r="F20" s="1">
        <v>-6.4077067261997201E-4</v>
      </c>
    </row>
    <row r="21" spans="1:6" x14ac:dyDescent="0.25">
      <c r="A21">
        <v>17</v>
      </c>
      <c r="B21">
        <v>131</v>
      </c>
      <c r="C21">
        <v>6900</v>
      </c>
      <c r="D21">
        <v>1.08492651958317E-2</v>
      </c>
      <c r="E21">
        <v>0.97186481515473599</v>
      </c>
      <c r="F21">
        <v>-1.1920192462140201E-2</v>
      </c>
    </row>
    <row r="22" spans="1:6" x14ac:dyDescent="0.25">
      <c r="A22">
        <v>18</v>
      </c>
      <c r="B22">
        <v>163</v>
      </c>
      <c r="C22">
        <v>3700</v>
      </c>
      <c r="D22">
        <v>2.6272888309506401E-3</v>
      </c>
      <c r="E22">
        <v>0.98420675610657105</v>
      </c>
      <c r="F22" s="1">
        <v>-6.97531516784921E-4</v>
      </c>
    </row>
    <row r="23" spans="1:6" x14ac:dyDescent="0.25">
      <c r="A23">
        <v>19</v>
      </c>
      <c r="B23">
        <v>170</v>
      </c>
      <c r="C23">
        <v>3000</v>
      </c>
      <c r="D23">
        <v>1.9819907418231401E-3</v>
      </c>
      <c r="E23">
        <v>0.98628329419961602</v>
      </c>
      <c r="F23" s="1">
        <v>1.5421856974445701E-4</v>
      </c>
    </row>
    <row r="24" spans="1:6" x14ac:dyDescent="0.25">
      <c r="A24">
        <v>20</v>
      </c>
      <c r="B24">
        <v>134</v>
      </c>
      <c r="C24">
        <v>6600</v>
      </c>
      <c r="D24">
        <v>8.3530661835324801E-3</v>
      </c>
      <c r="E24">
        <v>0.97491225223086697</v>
      </c>
      <c r="F24">
        <v>-3.16746410373868E-3</v>
      </c>
    </row>
    <row r="25" spans="1:6" x14ac:dyDescent="0.25">
      <c r="A25">
        <v>21</v>
      </c>
      <c r="B25">
        <v>122</v>
      </c>
      <c r="C25">
        <v>7800</v>
      </c>
      <c r="D25">
        <v>8.6726047450761401E-3</v>
      </c>
      <c r="E25">
        <v>0.97567121067301399</v>
      </c>
      <c r="F25">
        <v>-4.3057009789222401E-3</v>
      </c>
    </row>
    <row r="26" spans="1:6" x14ac:dyDescent="0.25">
      <c r="A26">
        <v>22</v>
      </c>
      <c r="B26">
        <v>127</v>
      </c>
      <c r="C26">
        <v>7300</v>
      </c>
      <c r="D26">
        <v>1.01450425147058E-2</v>
      </c>
      <c r="E26">
        <v>0.97210775234811397</v>
      </c>
      <c r="F26">
        <v>-4.0151606948934902E-3</v>
      </c>
    </row>
    <row r="27" spans="1:6" x14ac:dyDescent="0.25">
      <c r="A27">
        <v>23</v>
      </c>
      <c r="B27">
        <v>155</v>
      </c>
      <c r="C27">
        <v>4500</v>
      </c>
      <c r="D27">
        <v>3.69009176025791E-3</v>
      </c>
      <c r="E27">
        <v>0.98288081361948498</v>
      </c>
      <c r="F27">
        <v>-1.78892856657361E-3</v>
      </c>
    </row>
    <row r="28" spans="1:6" x14ac:dyDescent="0.25">
      <c r="A28">
        <v>24</v>
      </c>
      <c r="B28">
        <v>123</v>
      </c>
      <c r="C28">
        <v>7700</v>
      </c>
      <c r="D28">
        <v>1.0724069812291501E-2</v>
      </c>
      <c r="E28">
        <v>0.97209638167121803</v>
      </c>
      <c r="F28">
        <v>-6.8941063092096098E-3</v>
      </c>
    </row>
    <row r="29" spans="1:6" x14ac:dyDescent="0.25">
      <c r="A29">
        <v>25</v>
      </c>
      <c r="B29">
        <v>121</v>
      </c>
      <c r="C29">
        <v>7900</v>
      </c>
      <c r="D29">
        <v>1.01158468071225E-2</v>
      </c>
      <c r="E29">
        <v>0.97245425370042304</v>
      </c>
      <c r="F29">
        <v>-7.5661382731223503E-3</v>
      </c>
    </row>
    <row r="30" spans="1:6" x14ac:dyDescent="0.25">
      <c r="A30">
        <v>26</v>
      </c>
      <c r="B30">
        <v>162</v>
      </c>
      <c r="C30">
        <v>3800</v>
      </c>
      <c r="D30">
        <v>3.2592897763576898E-3</v>
      </c>
      <c r="E30">
        <v>0.98291567103892297</v>
      </c>
      <c r="F30">
        <v>-5.39067138134274E-3</v>
      </c>
    </row>
    <row r="31" spans="1:6" x14ac:dyDescent="0.25">
      <c r="A31">
        <v>27</v>
      </c>
      <c r="B31">
        <v>174</v>
      </c>
      <c r="C31">
        <v>2600</v>
      </c>
      <c r="D31">
        <v>1.32395005794239E-3</v>
      </c>
      <c r="E31">
        <v>0.98691499077802203</v>
      </c>
      <c r="F31">
        <v>1.8114772385106001E-3</v>
      </c>
    </row>
    <row r="32" spans="1:6" x14ac:dyDescent="0.25">
      <c r="A32">
        <v>28</v>
      </c>
      <c r="B32">
        <v>142</v>
      </c>
      <c r="C32">
        <v>5800</v>
      </c>
      <c r="D32">
        <v>4.8615162152530998E-3</v>
      </c>
      <c r="E32">
        <v>0.98085356653949596</v>
      </c>
      <c r="F32">
        <v>-1.11879807624626E-3</v>
      </c>
    </row>
    <row r="33" spans="1:6" x14ac:dyDescent="0.25">
      <c r="A33">
        <v>29</v>
      </c>
      <c r="B33">
        <v>203</v>
      </c>
      <c r="C33">
        <v>-300</v>
      </c>
      <c r="D33" s="1">
        <v>1.6491676332219799E-4</v>
      </c>
      <c r="E33">
        <v>0.98782824574523698</v>
      </c>
      <c r="F33">
        <v>1.60627969693857E-3</v>
      </c>
    </row>
    <row r="34" spans="1:6" x14ac:dyDescent="0.25">
      <c r="B34" t="s">
        <v>8</v>
      </c>
      <c r="C34">
        <f>SUM(C4:C33)</f>
        <v>164800</v>
      </c>
      <c r="D34" t="s">
        <v>9</v>
      </c>
      <c r="E34">
        <f>AVERAGE(E4:E33)</f>
        <v>0.97931063445484523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"/>
  <sheetViews>
    <sheetView workbookViewId="0">
      <selection activeCell="D34" sqref="D34:E34"/>
    </sheetView>
  </sheetViews>
  <sheetFormatPr defaultRowHeight="15" x14ac:dyDescent="0.25"/>
  <cols>
    <col min="1" max="1" width="17.85546875" bestFit="1" customWidth="1"/>
    <col min="2" max="2" width="20.28515625" bestFit="1" customWidth="1"/>
    <col min="3" max="3" width="14.7109375" bestFit="1" customWidth="1"/>
    <col min="4" max="4" width="21.85546875" bestFit="1" customWidth="1"/>
    <col min="5" max="5" width="14.140625" bestFit="1" customWidth="1"/>
    <col min="6" max="6" width="11.5703125" bestFit="1" customWidth="1"/>
  </cols>
  <sheetData>
    <row r="1" spans="1:6" x14ac:dyDescent="0.25">
      <c r="A1" s="2" t="s">
        <v>3</v>
      </c>
      <c r="B1">
        <v>200</v>
      </c>
      <c r="C1" s="2" t="s">
        <v>7</v>
      </c>
      <c r="D1">
        <v>0.33283355941638099</v>
      </c>
    </row>
    <row r="3" spans="1:6" x14ac:dyDescent="0.25">
      <c r="A3" s="3" t="s">
        <v>1</v>
      </c>
      <c r="B3" s="3" t="s">
        <v>0</v>
      </c>
      <c r="C3" s="3" t="s">
        <v>2</v>
      </c>
      <c r="D3" s="3" t="s">
        <v>4</v>
      </c>
      <c r="E3" s="3" t="s">
        <v>6</v>
      </c>
      <c r="F3" s="3" t="s">
        <v>5</v>
      </c>
    </row>
    <row r="4" spans="1:6" x14ac:dyDescent="0.25">
      <c r="A4">
        <v>0</v>
      </c>
      <c r="B4">
        <v>198</v>
      </c>
      <c r="C4">
        <v>200</v>
      </c>
      <c r="D4" s="1">
        <v>7.46548929423385E-5</v>
      </c>
      <c r="E4">
        <v>0.97159560646432697</v>
      </c>
      <c r="F4" s="1">
        <v>-8.0974129452271405E-4</v>
      </c>
    </row>
    <row r="5" spans="1:6" x14ac:dyDescent="0.25">
      <c r="A5">
        <v>1</v>
      </c>
      <c r="B5">
        <v>153</v>
      </c>
      <c r="C5">
        <v>4700</v>
      </c>
      <c r="D5">
        <v>4.3169266099337602E-3</v>
      </c>
      <c r="E5">
        <v>0.96538647191941196</v>
      </c>
      <c r="F5">
        <v>1.1177611943135001E-3</v>
      </c>
    </row>
    <row r="6" spans="1:6" x14ac:dyDescent="0.25">
      <c r="A6">
        <v>2</v>
      </c>
      <c r="B6">
        <v>145</v>
      </c>
      <c r="C6">
        <v>5500</v>
      </c>
      <c r="D6">
        <v>5.0608745598133501E-3</v>
      </c>
      <c r="E6">
        <v>0.96183665566673704</v>
      </c>
      <c r="F6">
        <v>-3.2857375677534601E-3</v>
      </c>
    </row>
    <row r="7" spans="1:6" x14ac:dyDescent="0.25">
      <c r="A7">
        <v>3</v>
      </c>
      <c r="B7">
        <v>208</v>
      </c>
      <c r="C7">
        <v>-800</v>
      </c>
      <c r="D7">
        <v>-1.0922590687773501E-3</v>
      </c>
      <c r="E7">
        <v>0.97558134180862699</v>
      </c>
      <c r="F7">
        <v>-2.1183220238527498E-3</v>
      </c>
    </row>
    <row r="8" spans="1:6" x14ac:dyDescent="0.25">
      <c r="A8">
        <v>4</v>
      </c>
      <c r="B8">
        <v>158</v>
      </c>
      <c r="C8">
        <v>4200</v>
      </c>
      <c r="D8">
        <v>3.6436416064395899E-3</v>
      </c>
      <c r="E8">
        <v>0.96086694051627697</v>
      </c>
      <c r="F8">
        <v>-1.8999241952578599E-3</v>
      </c>
    </row>
    <row r="9" spans="1:6" x14ac:dyDescent="0.25">
      <c r="A9">
        <v>5</v>
      </c>
      <c r="B9">
        <v>292</v>
      </c>
      <c r="C9">
        <v>-9200</v>
      </c>
      <c r="D9">
        <v>-2.7925113231100302E-3</v>
      </c>
      <c r="E9">
        <v>0.98320660922243996</v>
      </c>
      <c r="F9">
        <v>1.9119309980650801E-3</v>
      </c>
    </row>
    <row r="10" spans="1:6" x14ac:dyDescent="0.25">
      <c r="A10">
        <v>6</v>
      </c>
      <c r="B10">
        <v>151</v>
      </c>
      <c r="C10">
        <v>4900</v>
      </c>
      <c r="D10">
        <v>6.3749054886274503E-3</v>
      </c>
      <c r="E10">
        <v>0.95568934123551497</v>
      </c>
      <c r="F10">
        <v>-7.0782432186709196E-3</v>
      </c>
    </row>
    <row r="11" spans="1:6" x14ac:dyDescent="0.25">
      <c r="A11">
        <v>7</v>
      </c>
      <c r="B11">
        <v>159</v>
      </c>
      <c r="C11">
        <v>4100</v>
      </c>
      <c r="D11">
        <v>3.2143078671363901E-3</v>
      </c>
      <c r="E11">
        <v>0.96478230398999698</v>
      </c>
      <c r="F11">
        <v>-2.0304782157437801E-3</v>
      </c>
    </row>
    <row r="12" spans="1:6" x14ac:dyDescent="0.25">
      <c r="A12">
        <v>8</v>
      </c>
      <c r="B12">
        <v>176</v>
      </c>
      <c r="C12">
        <v>2400</v>
      </c>
      <c r="D12">
        <v>1.3563988883447599E-3</v>
      </c>
      <c r="E12">
        <v>0.97032986483925898</v>
      </c>
      <c r="F12">
        <v>-2.4605847340881601E-3</v>
      </c>
    </row>
    <row r="13" spans="1:6" x14ac:dyDescent="0.25">
      <c r="A13">
        <v>9</v>
      </c>
      <c r="B13">
        <v>165</v>
      </c>
      <c r="C13">
        <v>3500</v>
      </c>
      <c r="D13">
        <v>5.1581863057019103E-3</v>
      </c>
      <c r="E13">
        <v>0.95789176680188803</v>
      </c>
      <c r="F13">
        <v>-4.0997083396021499E-3</v>
      </c>
    </row>
    <row r="14" spans="1:6" x14ac:dyDescent="0.25">
      <c r="A14">
        <v>10</v>
      </c>
      <c r="B14">
        <v>166</v>
      </c>
      <c r="C14">
        <v>3400</v>
      </c>
      <c r="D14">
        <v>3.7370758305248402E-3</v>
      </c>
      <c r="E14">
        <v>0.961825920729246</v>
      </c>
      <c r="F14">
        <v>-2.81743809917434E-3</v>
      </c>
    </row>
    <row r="15" spans="1:6" x14ac:dyDescent="0.25">
      <c r="A15">
        <v>11</v>
      </c>
      <c r="B15">
        <v>160</v>
      </c>
      <c r="C15">
        <v>4000</v>
      </c>
      <c r="D15">
        <v>4.8621349157812396E-3</v>
      </c>
      <c r="E15">
        <v>0.95746058605529805</v>
      </c>
      <c r="F15">
        <v>-5.5938596089526397E-3</v>
      </c>
    </row>
    <row r="16" spans="1:6" x14ac:dyDescent="0.25">
      <c r="A16">
        <v>12</v>
      </c>
      <c r="B16">
        <v>170</v>
      </c>
      <c r="C16">
        <v>3000</v>
      </c>
      <c r="D16">
        <v>2.34675721977462E-3</v>
      </c>
      <c r="E16">
        <v>0.966988256501499</v>
      </c>
      <c r="F16">
        <v>2.2675628621779899E-3</v>
      </c>
    </row>
    <row r="17" spans="1:6" x14ac:dyDescent="0.25">
      <c r="A17">
        <v>13</v>
      </c>
      <c r="B17">
        <v>183</v>
      </c>
      <c r="C17">
        <v>1700</v>
      </c>
      <c r="D17">
        <v>1.4857741484842701E-3</v>
      </c>
      <c r="E17">
        <v>0.96981016044151702</v>
      </c>
      <c r="F17" s="1">
        <v>-9.0659135082225796E-4</v>
      </c>
    </row>
    <row r="18" spans="1:6" x14ac:dyDescent="0.25">
      <c r="A18">
        <v>14</v>
      </c>
      <c r="B18">
        <v>151</v>
      </c>
      <c r="C18">
        <v>4900</v>
      </c>
      <c r="D18">
        <v>4.7948499770224997E-3</v>
      </c>
      <c r="E18">
        <v>0.96489326070082104</v>
      </c>
      <c r="F18">
        <v>-4.5720977475325296E-3</v>
      </c>
    </row>
    <row r="19" spans="1:6" x14ac:dyDescent="0.25">
      <c r="A19">
        <v>15</v>
      </c>
      <c r="B19">
        <v>170</v>
      </c>
      <c r="C19">
        <v>3000</v>
      </c>
      <c r="D19">
        <v>2.4255843815477098E-3</v>
      </c>
      <c r="E19">
        <v>0.96661114134978099</v>
      </c>
      <c r="F19">
        <v>-2.7016668219681499E-3</v>
      </c>
    </row>
    <row r="20" spans="1:6" x14ac:dyDescent="0.25">
      <c r="A20">
        <v>16</v>
      </c>
      <c r="B20">
        <v>166</v>
      </c>
      <c r="C20">
        <v>3400</v>
      </c>
      <c r="D20">
        <v>3.2854348836804902E-3</v>
      </c>
      <c r="E20">
        <v>0.96510915574860101</v>
      </c>
      <c r="F20">
        <v>-3.2667375157225901E-3</v>
      </c>
    </row>
    <row r="21" spans="1:6" x14ac:dyDescent="0.25">
      <c r="A21">
        <v>17</v>
      </c>
      <c r="B21">
        <v>168</v>
      </c>
      <c r="C21">
        <v>3200</v>
      </c>
      <c r="D21">
        <v>1.95370171948389E-3</v>
      </c>
      <c r="E21">
        <v>0.96848250033817496</v>
      </c>
      <c r="F21" s="1">
        <v>5.8314486047872297E-5</v>
      </c>
    </row>
    <row r="22" spans="1:6" x14ac:dyDescent="0.25">
      <c r="A22">
        <v>18</v>
      </c>
      <c r="B22">
        <v>219</v>
      </c>
      <c r="C22">
        <v>-1900</v>
      </c>
      <c r="D22" s="1">
        <v>-9.8405502301224202E-4</v>
      </c>
      <c r="E22">
        <v>0.97912734474655205</v>
      </c>
      <c r="F22" s="1">
        <v>-1.7238776689698599E-4</v>
      </c>
    </row>
    <row r="23" spans="1:6" x14ac:dyDescent="0.25">
      <c r="A23">
        <v>19</v>
      </c>
      <c r="B23">
        <v>223</v>
      </c>
      <c r="C23">
        <v>-2300</v>
      </c>
      <c r="D23">
        <v>-1.2674658412352099E-3</v>
      </c>
      <c r="E23">
        <v>0.976498588194887</v>
      </c>
      <c r="F23" s="1">
        <v>-9.5777867510127204E-4</v>
      </c>
    </row>
    <row r="24" spans="1:6" x14ac:dyDescent="0.25">
      <c r="A24">
        <v>20</v>
      </c>
      <c r="B24">
        <v>195</v>
      </c>
      <c r="C24">
        <v>500</v>
      </c>
      <c r="D24" s="1">
        <v>-5.0677194091686097E-6</v>
      </c>
      <c r="E24">
        <v>0.97330613212969197</v>
      </c>
      <c r="F24" s="1">
        <v>9.0615851833464301E-4</v>
      </c>
    </row>
    <row r="25" spans="1:6" x14ac:dyDescent="0.25">
      <c r="A25">
        <v>21</v>
      </c>
      <c r="B25">
        <v>169</v>
      </c>
      <c r="C25">
        <v>3100</v>
      </c>
      <c r="D25">
        <v>3.26482959816998E-3</v>
      </c>
      <c r="E25">
        <v>0.96465437889324801</v>
      </c>
      <c r="F25">
        <v>-5.4431932951686203E-3</v>
      </c>
    </row>
    <row r="26" spans="1:6" x14ac:dyDescent="0.25">
      <c r="A26">
        <v>22</v>
      </c>
      <c r="B26">
        <v>149</v>
      </c>
      <c r="C26">
        <v>5100</v>
      </c>
      <c r="D26">
        <v>6.0169173067754402E-3</v>
      </c>
      <c r="E26">
        <v>0.95535365437471498</v>
      </c>
      <c r="F26">
        <v>-3.5403511139828702E-3</v>
      </c>
    </row>
    <row r="27" spans="1:6" x14ac:dyDescent="0.25">
      <c r="A27">
        <v>23</v>
      </c>
      <c r="B27">
        <v>179</v>
      </c>
      <c r="C27">
        <v>2100</v>
      </c>
      <c r="D27">
        <v>2.2209711937741699E-3</v>
      </c>
      <c r="E27">
        <v>0.96664861909461597</v>
      </c>
      <c r="F27">
        <v>-3.6472321048567299E-3</v>
      </c>
    </row>
    <row r="28" spans="1:6" x14ac:dyDescent="0.25">
      <c r="A28">
        <v>24</v>
      </c>
      <c r="B28">
        <v>146</v>
      </c>
      <c r="C28">
        <v>5400</v>
      </c>
      <c r="D28">
        <v>4.9821713227658996E-3</v>
      </c>
      <c r="E28">
        <v>0.95888900394526899</v>
      </c>
      <c r="F28">
        <v>2.6832081451161299E-3</v>
      </c>
    </row>
    <row r="29" spans="1:6" x14ac:dyDescent="0.25">
      <c r="A29">
        <v>25</v>
      </c>
      <c r="B29">
        <v>163</v>
      </c>
      <c r="C29">
        <v>3700</v>
      </c>
      <c r="D29">
        <v>3.8919351075993799E-3</v>
      </c>
      <c r="E29">
        <v>0.96280303377797505</v>
      </c>
      <c r="F29" s="1">
        <v>-3.5274571843107999E-4</v>
      </c>
    </row>
    <row r="30" spans="1:6" x14ac:dyDescent="0.25">
      <c r="A30">
        <v>26</v>
      </c>
      <c r="B30">
        <v>155</v>
      </c>
      <c r="C30">
        <v>4500</v>
      </c>
      <c r="D30">
        <v>3.8773269189122301E-3</v>
      </c>
      <c r="E30">
        <v>0.96267916317645297</v>
      </c>
      <c r="F30" s="1">
        <v>2.5990513066531602E-4</v>
      </c>
    </row>
    <row r="31" spans="1:6" x14ac:dyDescent="0.25">
      <c r="A31">
        <v>27</v>
      </c>
      <c r="B31">
        <v>201</v>
      </c>
      <c r="C31">
        <v>-100</v>
      </c>
      <c r="D31" s="1">
        <v>-6.0675978180990598E-5</v>
      </c>
      <c r="E31">
        <v>0.97474849800028496</v>
      </c>
      <c r="F31">
        <v>0</v>
      </c>
    </row>
    <row r="32" spans="1:6" x14ac:dyDescent="0.25">
      <c r="A32">
        <v>28</v>
      </c>
      <c r="B32">
        <v>217</v>
      </c>
      <c r="C32">
        <v>-1700</v>
      </c>
      <c r="D32" s="1">
        <v>-8.55189431005154E-4</v>
      </c>
      <c r="E32">
        <v>0.97819235535128501</v>
      </c>
      <c r="F32">
        <v>5.0382563890175496E-3</v>
      </c>
    </row>
    <row r="33" spans="1:7" x14ac:dyDescent="0.25">
      <c r="A33">
        <v>29</v>
      </c>
      <c r="B33">
        <v>167</v>
      </c>
      <c r="C33">
        <v>3300</v>
      </c>
      <c r="D33">
        <v>2.0996297081138302E-3</v>
      </c>
      <c r="E33">
        <v>0.96918232787715497</v>
      </c>
      <c r="F33">
        <v>-1.60338391865949E-3</v>
      </c>
    </row>
    <row r="34" spans="1:7" x14ac:dyDescent="0.25">
      <c r="B34" t="s">
        <v>8</v>
      </c>
      <c r="C34">
        <f>SUM(C4:C33)</f>
        <v>67800</v>
      </c>
      <c r="D34" t="s">
        <v>9</v>
      </c>
      <c r="E34">
        <f>AVERAGE(E4:E33)</f>
        <v>0.96701436612971825</v>
      </c>
    </row>
    <row r="39" spans="1:7" x14ac:dyDescent="0.25">
      <c r="D39">
        <f>QUARTILE($D$4:$D$33,0)</f>
        <v>-2.7925113231100302E-3</v>
      </c>
      <c r="F39" s="1">
        <f>MIN($F$4:$F$33)</f>
        <v>-7.0782432186709196E-3</v>
      </c>
      <c r="G39" s="1">
        <f>MIN($F$4:$F$33)</f>
        <v>-7.0782432186709196E-3</v>
      </c>
    </row>
    <row r="40" spans="1:7" x14ac:dyDescent="0.25">
      <c r="D40">
        <f>QUARTILE($D$4:$D$33,1)</f>
        <v>3.9509089179294387E-4</v>
      </c>
      <c r="F40">
        <f>_xlfn.PERCENTILE.EXC($F$4:$F$33,0.25)</f>
        <v>-3.3493909543108125E-3</v>
      </c>
      <c r="G40">
        <f>_xlfn.QUARTILE.EXC($F$4:$F$33,1)</f>
        <v>-3.3493909543108125E-3</v>
      </c>
    </row>
    <row r="41" spans="1:7" x14ac:dyDescent="0.25">
      <c r="D41">
        <f>QUARTILE($D$4:$D$33,2)</f>
        <v>2.8199461243420499E-3</v>
      </c>
      <c r="F41" s="1">
        <f>MEDIAN($F$4:$F$33)</f>
        <v>-1.7516540569586748E-3</v>
      </c>
      <c r="G41">
        <f>_xlfn.QUARTILE.EXC($F$4:$F$33,2)</f>
        <v>-1.7516540569586748E-3</v>
      </c>
    </row>
    <row r="42" spans="1:7" x14ac:dyDescent="0.25">
      <c r="D42">
        <f>QUARTILE($D$4:$D$33,3)</f>
        <v>4.2106787343501647E-3</v>
      </c>
      <c r="F42">
        <f>_xlfn.PERCENTILE.EXC($F$4:$F$33,0.75)</f>
        <v>1.0871214720223323E-4</v>
      </c>
      <c r="G42">
        <f>_xlfn.QUARTILE.EXC($F$4:$F$33,3)</f>
        <v>1.0871214720223323E-4</v>
      </c>
    </row>
    <row r="43" spans="1:7" x14ac:dyDescent="0.25">
      <c r="D43">
        <f>QUARTILE($D$4:$D$33,4)</f>
        <v>6.3749054886274503E-3</v>
      </c>
      <c r="F43" s="1">
        <f>MAX($F$4:$F$33)</f>
        <v>5.0382563890175496E-3</v>
      </c>
      <c r="G43" s="1">
        <f>MAX($F$4:$F$33)</f>
        <v>5.0382563890175496E-3</v>
      </c>
    </row>
    <row r="45" spans="1:7" x14ac:dyDescent="0.25">
      <c r="D45">
        <f>D38-D37</f>
        <v>0</v>
      </c>
      <c r="F45">
        <f>F38-F37</f>
        <v>0</v>
      </c>
    </row>
    <row r="46" spans="1:7" x14ac:dyDescent="0.25">
      <c r="D46">
        <f>D39-D38</f>
        <v>-2.7925113231100302E-3</v>
      </c>
      <c r="F46" s="1">
        <f>F38-F39</f>
        <v>7.0782432186709196E-3</v>
      </c>
    </row>
    <row r="47" spans="1:7" x14ac:dyDescent="0.25">
      <c r="D47">
        <f t="shared" ref="D47:F50" si="0">D40-D39</f>
        <v>3.1876022149029742E-3</v>
      </c>
      <c r="F47" s="1">
        <f>F39-F40</f>
        <v>-3.7288522643601071E-3</v>
      </c>
    </row>
    <row r="48" spans="1:7" x14ac:dyDescent="0.25">
      <c r="D48">
        <f t="shared" si="0"/>
        <v>2.4248552325491059E-3</v>
      </c>
      <c r="F48" s="1">
        <f>F40-F41</f>
        <v>-1.5977368973521377E-3</v>
      </c>
    </row>
    <row r="49" spans="4:6" x14ac:dyDescent="0.25">
      <c r="D49">
        <f t="shared" si="0"/>
        <v>1.3907326100081148E-3</v>
      </c>
      <c r="F49" s="1">
        <f>F41-F42</f>
        <v>-1.860366204160908E-3</v>
      </c>
    </row>
    <row r="50" spans="4:6" x14ac:dyDescent="0.25">
      <c r="D50">
        <f t="shared" si="0"/>
        <v>2.1642267542772856E-3</v>
      </c>
      <c r="F50" s="1">
        <f>F42-F43</f>
        <v>-4.9295442418153161E-3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workbookViewId="0">
      <selection activeCell="D34" sqref="D34:E34"/>
    </sheetView>
  </sheetViews>
  <sheetFormatPr defaultRowHeight="15" x14ac:dyDescent="0.25"/>
  <cols>
    <col min="1" max="1" width="17.85546875" bestFit="1" customWidth="1"/>
    <col min="2" max="2" width="20.28515625" bestFit="1" customWidth="1"/>
    <col min="3" max="3" width="14.7109375" bestFit="1" customWidth="1"/>
    <col min="4" max="4" width="21.85546875" bestFit="1" customWidth="1"/>
    <col min="5" max="5" width="14.140625" bestFit="1" customWidth="1"/>
    <col min="6" max="6" width="11.5703125" bestFit="1" customWidth="1"/>
  </cols>
  <sheetData>
    <row r="1" spans="1:6" x14ac:dyDescent="0.25">
      <c r="A1" s="2" t="s">
        <v>3</v>
      </c>
      <c r="B1">
        <v>200</v>
      </c>
      <c r="C1" s="2" t="s">
        <v>7</v>
      </c>
      <c r="D1">
        <v>0.51719187154758695</v>
      </c>
    </row>
    <row r="3" spans="1:6" x14ac:dyDescent="0.25">
      <c r="A3" s="3" t="s">
        <v>1</v>
      </c>
      <c r="B3" s="3" t="s">
        <v>0</v>
      </c>
      <c r="C3" s="3" t="s">
        <v>2</v>
      </c>
      <c r="D3" s="3" t="s">
        <v>4</v>
      </c>
      <c r="E3" s="3" t="s">
        <v>6</v>
      </c>
      <c r="F3" s="3" t="s">
        <v>5</v>
      </c>
    </row>
    <row r="4" spans="1:6" x14ac:dyDescent="0.25">
      <c r="A4">
        <v>0</v>
      </c>
      <c r="B4">
        <v>162</v>
      </c>
      <c r="C4">
        <v>3800</v>
      </c>
      <c r="D4">
        <v>1.88023544635496E-3</v>
      </c>
      <c r="E4">
        <v>0.98931709736600004</v>
      </c>
      <c r="F4">
        <v>-1.2119754075568499E-3</v>
      </c>
    </row>
    <row r="5" spans="1:6" x14ac:dyDescent="0.25">
      <c r="A5">
        <v>1</v>
      </c>
      <c r="B5">
        <v>184</v>
      </c>
      <c r="C5">
        <v>1600</v>
      </c>
      <c r="D5" s="1">
        <v>7.8443145858742003E-4</v>
      </c>
      <c r="E5">
        <v>0.99156408973995902</v>
      </c>
      <c r="F5">
        <v>-5.9026780993743999E-3</v>
      </c>
    </row>
    <row r="6" spans="1:6" x14ac:dyDescent="0.25">
      <c r="A6">
        <v>2</v>
      </c>
      <c r="B6">
        <v>191</v>
      </c>
      <c r="C6">
        <v>900</v>
      </c>
      <c r="D6" s="1">
        <v>5.8489135180683695E-4</v>
      </c>
      <c r="E6">
        <v>0.99206595233444395</v>
      </c>
      <c r="F6">
        <v>1.31836055900639E-3</v>
      </c>
    </row>
    <row r="7" spans="1:6" x14ac:dyDescent="0.25">
      <c r="A7">
        <v>3</v>
      </c>
      <c r="B7">
        <v>185</v>
      </c>
      <c r="C7">
        <v>1500</v>
      </c>
      <c r="D7" s="1">
        <v>5.2440204540804504E-4</v>
      </c>
      <c r="E7">
        <v>0.99173192026087698</v>
      </c>
      <c r="F7">
        <v>-1.67674038697403E-3</v>
      </c>
    </row>
    <row r="8" spans="1:6" x14ac:dyDescent="0.25">
      <c r="A8">
        <v>4</v>
      </c>
      <c r="B8">
        <v>125</v>
      </c>
      <c r="C8">
        <v>7500</v>
      </c>
      <c r="D8">
        <v>6.7497848917349402E-3</v>
      </c>
      <c r="E8">
        <v>0.97997333691999799</v>
      </c>
      <c r="F8">
        <v>-1.0142672573018E-2</v>
      </c>
    </row>
    <row r="9" spans="1:6" x14ac:dyDescent="0.25">
      <c r="A9">
        <v>5</v>
      </c>
      <c r="B9">
        <v>115</v>
      </c>
      <c r="C9">
        <v>8500</v>
      </c>
      <c r="D9">
        <v>8.2823867936648796E-3</v>
      </c>
      <c r="E9">
        <v>0.97788748244162704</v>
      </c>
      <c r="F9">
        <v>-1.2517411531936799E-2</v>
      </c>
    </row>
    <row r="10" spans="1:6" x14ac:dyDescent="0.25">
      <c r="A10">
        <v>6</v>
      </c>
      <c r="B10">
        <v>145</v>
      </c>
      <c r="C10">
        <v>5500</v>
      </c>
      <c r="D10">
        <v>3.06524184403711E-3</v>
      </c>
      <c r="E10">
        <v>0.98692825029568199</v>
      </c>
      <c r="F10">
        <v>1.9154975424234199E-3</v>
      </c>
    </row>
    <row r="11" spans="1:6" x14ac:dyDescent="0.25">
      <c r="A11">
        <v>7</v>
      </c>
      <c r="B11">
        <v>141</v>
      </c>
      <c r="C11">
        <v>5900</v>
      </c>
      <c r="D11">
        <v>5.5132286010064402E-3</v>
      </c>
      <c r="E11">
        <v>0.98203671689042005</v>
      </c>
      <c r="F11">
        <v>-6.99970418727946E-3</v>
      </c>
    </row>
    <row r="12" spans="1:6" x14ac:dyDescent="0.25">
      <c r="A12">
        <v>8</v>
      </c>
      <c r="B12">
        <v>214</v>
      </c>
      <c r="C12">
        <v>-1400</v>
      </c>
      <c r="D12" s="1">
        <v>-5.6410577857612899E-4</v>
      </c>
      <c r="E12">
        <v>0.99443423660937602</v>
      </c>
      <c r="F12" s="1">
        <v>-3.2579873770000002E-4</v>
      </c>
    </row>
    <row r="13" spans="1:6" x14ac:dyDescent="0.25">
      <c r="A13">
        <v>9</v>
      </c>
      <c r="B13">
        <v>153</v>
      </c>
      <c r="C13">
        <v>4700</v>
      </c>
      <c r="D13">
        <v>3.4490972823812902E-3</v>
      </c>
      <c r="E13">
        <v>0.98648387281003902</v>
      </c>
      <c r="F13">
        <v>-2.6419898658634998E-3</v>
      </c>
    </row>
    <row r="14" spans="1:6" x14ac:dyDescent="0.25">
      <c r="A14">
        <v>10</v>
      </c>
      <c r="B14">
        <v>118</v>
      </c>
      <c r="C14">
        <v>8200</v>
      </c>
      <c r="D14">
        <v>9.3172120775122293E-3</v>
      </c>
      <c r="E14">
        <v>0.97558054836424601</v>
      </c>
      <c r="F14">
        <v>-1.3954769173487499E-2</v>
      </c>
    </row>
    <row r="15" spans="1:6" x14ac:dyDescent="0.25">
      <c r="A15">
        <v>11</v>
      </c>
      <c r="B15">
        <v>149</v>
      </c>
      <c r="C15">
        <v>5100</v>
      </c>
      <c r="D15">
        <v>4.5661650065368297E-3</v>
      </c>
      <c r="E15">
        <v>0.98343931618072999</v>
      </c>
      <c r="F15">
        <v>-4.8550550644500803E-3</v>
      </c>
    </row>
    <row r="16" spans="1:6" x14ac:dyDescent="0.25">
      <c r="A16">
        <v>12</v>
      </c>
      <c r="B16">
        <v>138</v>
      </c>
      <c r="C16">
        <v>6200</v>
      </c>
      <c r="D16">
        <v>4.9398186135426398E-3</v>
      </c>
      <c r="E16">
        <v>0.98389345352469704</v>
      </c>
      <c r="F16">
        <v>-5.0990232070927399E-3</v>
      </c>
    </row>
    <row r="17" spans="1:6" x14ac:dyDescent="0.25">
      <c r="A17">
        <v>13</v>
      </c>
      <c r="B17">
        <v>138</v>
      </c>
      <c r="C17">
        <v>6200</v>
      </c>
      <c r="D17">
        <v>4.30387964846246E-3</v>
      </c>
      <c r="E17">
        <v>0.985231883918535</v>
      </c>
      <c r="F17">
        <v>-1.7819612863766499E-3</v>
      </c>
    </row>
    <row r="18" spans="1:6" x14ac:dyDescent="0.25">
      <c r="A18">
        <v>14</v>
      </c>
      <c r="B18">
        <v>132</v>
      </c>
      <c r="C18">
        <v>6800</v>
      </c>
      <c r="D18">
        <v>7.52237606719374E-3</v>
      </c>
      <c r="E18">
        <v>0.97759290492179096</v>
      </c>
      <c r="F18">
        <v>-1.1371158191845501E-2</v>
      </c>
    </row>
    <row r="19" spans="1:6" x14ac:dyDescent="0.25">
      <c r="A19">
        <v>15</v>
      </c>
      <c r="B19">
        <v>156</v>
      </c>
      <c r="C19">
        <v>4400</v>
      </c>
      <c r="D19">
        <v>2.1076597376998799E-3</v>
      </c>
      <c r="E19">
        <v>0.98888881526336103</v>
      </c>
      <c r="F19" s="1">
        <v>3.9224771035693801E-4</v>
      </c>
    </row>
    <row r="20" spans="1:6" x14ac:dyDescent="0.25">
      <c r="A20">
        <v>16</v>
      </c>
      <c r="B20">
        <v>187</v>
      </c>
      <c r="C20">
        <v>1300</v>
      </c>
      <c r="D20" s="1">
        <v>3.4846614815031701E-4</v>
      </c>
      <c r="E20">
        <v>0.99241921046550696</v>
      </c>
      <c r="F20">
        <v>-1.3571533176202999E-3</v>
      </c>
    </row>
    <row r="21" spans="1:6" x14ac:dyDescent="0.25">
      <c r="A21">
        <v>17</v>
      </c>
      <c r="B21">
        <v>149</v>
      </c>
      <c r="C21">
        <v>5100</v>
      </c>
      <c r="D21">
        <v>3.4285597305218E-3</v>
      </c>
      <c r="E21">
        <v>0.98579809141511798</v>
      </c>
      <c r="F21" s="1">
        <v>-2.6017640606640298E-4</v>
      </c>
    </row>
    <row r="22" spans="1:6" x14ac:dyDescent="0.25">
      <c r="A22">
        <v>18</v>
      </c>
      <c r="B22">
        <v>139</v>
      </c>
      <c r="C22">
        <v>6100</v>
      </c>
      <c r="D22">
        <v>5.8810748754540799E-3</v>
      </c>
      <c r="E22">
        <v>0.98157960488197005</v>
      </c>
      <c r="F22">
        <v>-5.7224645484128204E-3</v>
      </c>
    </row>
    <row r="23" spans="1:6" x14ac:dyDescent="0.25">
      <c r="A23">
        <v>19</v>
      </c>
      <c r="B23">
        <v>120</v>
      </c>
      <c r="C23">
        <v>8000</v>
      </c>
      <c r="D23">
        <v>1.06046338090119E-2</v>
      </c>
      <c r="E23">
        <v>0.97230001790295895</v>
      </c>
      <c r="F23">
        <v>-8.8889988539172793E-3</v>
      </c>
    </row>
    <row r="24" spans="1:6" x14ac:dyDescent="0.25">
      <c r="A24">
        <v>20</v>
      </c>
      <c r="B24">
        <v>141</v>
      </c>
      <c r="C24">
        <v>5900</v>
      </c>
      <c r="D24">
        <v>6.1208215469860097E-3</v>
      </c>
      <c r="E24">
        <v>0.98117391647851404</v>
      </c>
      <c r="F24">
        <v>-5.8806215826587198E-3</v>
      </c>
    </row>
    <row r="25" spans="1:6" x14ac:dyDescent="0.25">
      <c r="A25">
        <v>21</v>
      </c>
      <c r="B25">
        <v>148</v>
      </c>
      <c r="C25">
        <v>5200</v>
      </c>
      <c r="D25">
        <v>2.8704291589508601E-3</v>
      </c>
      <c r="E25">
        <v>0.98808688157340296</v>
      </c>
      <c r="F25">
        <v>-2.59241435319469E-3</v>
      </c>
    </row>
    <row r="26" spans="1:6" x14ac:dyDescent="0.25">
      <c r="A26">
        <v>22</v>
      </c>
      <c r="B26">
        <v>131</v>
      </c>
      <c r="C26">
        <v>6900</v>
      </c>
      <c r="D26">
        <v>5.9194572155926101E-3</v>
      </c>
      <c r="E26">
        <v>0.98154909227953402</v>
      </c>
      <c r="F26">
        <v>-6.6292179250593501E-3</v>
      </c>
    </row>
    <row r="27" spans="1:6" x14ac:dyDescent="0.25">
      <c r="A27">
        <v>23</v>
      </c>
      <c r="B27">
        <v>143</v>
      </c>
      <c r="C27">
        <v>5700</v>
      </c>
      <c r="D27">
        <v>7.2759723635476004E-3</v>
      </c>
      <c r="E27">
        <v>0.975739986422549</v>
      </c>
      <c r="F27">
        <v>-1.0078287593559099E-2</v>
      </c>
    </row>
    <row r="28" spans="1:6" x14ac:dyDescent="0.25">
      <c r="A28">
        <v>24</v>
      </c>
      <c r="B28">
        <v>130</v>
      </c>
      <c r="C28">
        <v>7000</v>
      </c>
      <c r="D28">
        <v>5.5412857837174798E-3</v>
      </c>
      <c r="E28">
        <v>0.98379870846981998</v>
      </c>
      <c r="F28">
        <v>-6.3987936206359999E-3</v>
      </c>
    </row>
    <row r="29" spans="1:6" x14ac:dyDescent="0.25">
      <c r="A29">
        <v>25</v>
      </c>
      <c r="B29">
        <v>128</v>
      </c>
      <c r="C29">
        <v>7200</v>
      </c>
      <c r="D29">
        <v>5.6299034200122302E-3</v>
      </c>
      <c r="E29">
        <v>0.98245039429620296</v>
      </c>
      <c r="F29">
        <v>-8.1884611163008502E-3</v>
      </c>
    </row>
    <row r="30" spans="1:6" x14ac:dyDescent="0.25">
      <c r="A30">
        <v>26</v>
      </c>
      <c r="B30">
        <v>199</v>
      </c>
      <c r="C30">
        <v>100</v>
      </c>
      <c r="D30" s="1">
        <v>7.1521848018063494E-5</v>
      </c>
      <c r="E30">
        <v>0.99209950654051604</v>
      </c>
      <c r="F30" s="1">
        <v>-8.6311564224213905E-4</v>
      </c>
    </row>
    <row r="31" spans="1:6" x14ac:dyDescent="0.25">
      <c r="A31">
        <v>27</v>
      </c>
      <c r="B31">
        <v>128</v>
      </c>
      <c r="C31">
        <v>7200</v>
      </c>
      <c r="D31">
        <v>7.13966780614461E-3</v>
      </c>
      <c r="E31">
        <v>0.97859056172659298</v>
      </c>
      <c r="F31">
        <v>-8.2549595578293705E-3</v>
      </c>
    </row>
    <row r="32" spans="1:6" x14ac:dyDescent="0.25">
      <c r="A32">
        <v>28</v>
      </c>
      <c r="B32">
        <v>158</v>
      </c>
      <c r="C32">
        <v>4200</v>
      </c>
      <c r="D32">
        <v>2.2781408499055098E-3</v>
      </c>
      <c r="E32">
        <v>0.98776943105524395</v>
      </c>
      <c r="F32">
        <v>-1.08959930176485E-3</v>
      </c>
    </row>
    <row r="33" spans="1:6" x14ac:dyDescent="0.25">
      <c r="A33">
        <v>29</v>
      </c>
      <c r="B33">
        <v>144</v>
      </c>
      <c r="C33">
        <v>5600</v>
      </c>
      <c r="D33">
        <v>3.9793132356357097E-3</v>
      </c>
      <c r="E33">
        <v>0.98518815741018995</v>
      </c>
      <c r="F33" s="1">
        <v>-7.0021476630840996E-4</v>
      </c>
    </row>
    <row r="34" spans="1:6" x14ac:dyDescent="0.25">
      <c r="B34" t="s">
        <v>8</v>
      </c>
      <c r="C34">
        <f>SUM(C4:C33)</f>
        <v>150900</v>
      </c>
      <c r="D34" t="s">
        <v>9</v>
      </c>
      <c r="E34">
        <f>AVERAGE(E4:E33)</f>
        <v>0.98451978129199669</v>
      </c>
    </row>
    <row r="39" spans="1:6" x14ac:dyDescent="0.25">
      <c r="D39">
        <f>QUARTILE($D$4:$D$33,0)</f>
        <v>-5.6410577857612899E-4</v>
      </c>
      <c r="F39">
        <f>QUARTILE($F$4:$F$33,0)</f>
        <v>-1.3954769173487499E-2</v>
      </c>
    </row>
    <row r="40" spans="1:6" x14ac:dyDescent="0.25">
      <c r="D40">
        <f>QUARTILE($D$4:$D$33,1)</f>
        <v>2.1502800157512875E-3</v>
      </c>
      <c r="F40">
        <f>QUARTILE($F$4:$F$33,1)</f>
        <v>-7.8912718840455018E-3</v>
      </c>
    </row>
    <row r="41" spans="1:6" x14ac:dyDescent="0.25">
      <c r="D41">
        <f>QUARTILE($D$4:$D$33,2)</f>
        <v>4.4350223274996449E-3</v>
      </c>
      <c r="F41">
        <f>QUARTILE($F$4:$F$33,2)</f>
        <v>-4.9770391357714105E-3</v>
      </c>
    </row>
    <row r="42" spans="1:6" x14ac:dyDescent="0.25">
      <c r="D42">
        <f>QUARTILE($D$4:$D$33,3)</f>
        <v>6.0704804641376602E-3</v>
      </c>
      <c r="F42">
        <f>QUARTILE($F$4:$F$33,3)</f>
        <v>-1.1201933282128499E-3</v>
      </c>
    </row>
    <row r="43" spans="1:6" x14ac:dyDescent="0.25">
      <c r="D43">
        <f>QUARTILE($D$4:$D$33,4)</f>
        <v>1.06046338090119E-2</v>
      </c>
      <c r="F43">
        <f>QUARTILE($F$4:$F$33,4)</f>
        <v>1.9154975424234199E-3</v>
      </c>
    </row>
    <row r="45" spans="1:6" x14ac:dyDescent="0.25">
      <c r="D45">
        <f>D38-D37</f>
        <v>0</v>
      </c>
      <c r="F45">
        <f>F38-F37</f>
        <v>0</v>
      </c>
    </row>
    <row r="46" spans="1:6" x14ac:dyDescent="0.25">
      <c r="D46">
        <f>D39-D38</f>
        <v>-5.6410577857612899E-4</v>
      </c>
      <c r="F46">
        <f>F39-F38</f>
        <v>-1.3954769173487499E-2</v>
      </c>
    </row>
    <row r="47" spans="1:6" x14ac:dyDescent="0.25">
      <c r="D47">
        <f t="shared" ref="D47:F50" si="0">D40-D39</f>
        <v>2.7143857943274165E-3</v>
      </c>
      <c r="F47">
        <f t="shared" si="0"/>
        <v>6.0634972894419974E-3</v>
      </c>
    </row>
    <row r="48" spans="1:6" x14ac:dyDescent="0.25">
      <c r="D48">
        <f t="shared" si="0"/>
        <v>2.2847423117483574E-3</v>
      </c>
      <c r="F48">
        <f t="shared" si="0"/>
        <v>2.9142327482740912E-3</v>
      </c>
    </row>
    <row r="49" spans="4:6" x14ac:dyDescent="0.25">
      <c r="D49">
        <f t="shared" si="0"/>
        <v>1.6354581366380154E-3</v>
      </c>
      <c r="F49">
        <f t="shared" si="0"/>
        <v>3.8568458075585606E-3</v>
      </c>
    </row>
    <row r="50" spans="4:6" x14ac:dyDescent="0.25">
      <c r="D50">
        <f t="shared" si="0"/>
        <v>4.5341533448742394E-3</v>
      </c>
      <c r="F50">
        <f t="shared" si="0"/>
        <v>3.0356908706362699E-3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D34" sqref="D34:E34"/>
    </sheetView>
  </sheetViews>
  <sheetFormatPr defaultRowHeight="15" x14ac:dyDescent="0.25"/>
  <cols>
    <col min="1" max="1" width="17.85546875" bestFit="1" customWidth="1"/>
    <col min="2" max="2" width="20.28515625" bestFit="1" customWidth="1"/>
    <col min="3" max="3" width="14.7109375" bestFit="1" customWidth="1"/>
    <col min="4" max="4" width="21.85546875" bestFit="1" customWidth="1"/>
    <col min="5" max="5" width="14.140625" bestFit="1" customWidth="1"/>
    <col min="6" max="6" width="11.5703125" bestFit="1" customWidth="1"/>
  </cols>
  <sheetData>
    <row r="1" spans="1:6" x14ac:dyDescent="0.25">
      <c r="A1" s="2" t="s">
        <v>3</v>
      </c>
      <c r="B1">
        <v>200</v>
      </c>
      <c r="C1" s="2" t="s">
        <v>7</v>
      </c>
      <c r="D1">
        <v>0.66617361728492197</v>
      </c>
    </row>
    <row r="3" spans="1:6" x14ac:dyDescent="0.25">
      <c r="A3" s="3" t="s">
        <v>1</v>
      </c>
      <c r="B3" s="3" t="s">
        <v>0</v>
      </c>
      <c r="C3" s="3" t="s">
        <v>2</v>
      </c>
      <c r="D3" s="3" t="s">
        <v>4</v>
      </c>
      <c r="E3" s="3" t="s">
        <v>6</v>
      </c>
      <c r="F3" s="3" t="s">
        <v>5</v>
      </c>
    </row>
    <row r="4" spans="1:6" x14ac:dyDescent="0.25">
      <c r="A4">
        <v>0</v>
      </c>
      <c r="B4">
        <v>232</v>
      </c>
      <c r="C4">
        <v>-3200</v>
      </c>
      <c r="D4">
        <v>-1.93355668836836E-3</v>
      </c>
      <c r="E4">
        <v>0.98682220134850995</v>
      </c>
      <c r="F4">
        <v>4.0554145517913099E-3</v>
      </c>
    </row>
    <row r="5" spans="1:6" x14ac:dyDescent="0.25">
      <c r="A5">
        <v>1</v>
      </c>
      <c r="B5">
        <v>337</v>
      </c>
      <c r="C5">
        <v>-13700</v>
      </c>
      <c r="D5">
        <v>-0.193055559263624</v>
      </c>
      <c r="E5">
        <v>0.98933079921562195</v>
      </c>
      <c r="F5">
        <v>0.279595935073226</v>
      </c>
    </row>
    <row r="6" spans="1:6" x14ac:dyDescent="0.25">
      <c r="A6">
        <v>2</v>
      </c>
      <c r="B6">
        <v>224</v>
      </c>
      <c r="C6">
        <v>-2400</v>
      </c>
      <c r="D6">
        <v>-2.2472661273027399E-3</v>
      </c>
      <c r="E6">
        <v>0.987381706989652</v>
      </c>
      <c r="F6" s="1">
        <v>-1.8706740924329099E-4</v>
      </c>
    </row>
    <row r="7" spans="1:6" x14ac:dyDescent="0.25">
      <c r="A7">
        <v>3</v>
      </c>
      <c r="B7">
        <v>217</v>
      </c>
      <c r="C7">
        <v>-1700</v>
      </c>
      <c r="D7">
        <v>-5.4202748520316701E-3</v>
      </c>
      <c r="E7">
        <v>0.984604061176928</v>
      </c>
      <c r="F7" s="1">
        <v>-3.2570612161153501E-4</v>
      </c>
    </row>
    <row r="8" spans="1:6" x14ac:dyDescent="0.25">
      <c r="A8">
        <v>4</v>
      </c>
      <c r="B8">
        <v>131</v>
      </c>
      <c r="C8">
        <v>6900</v>
      </c>
      <c r="D8">
        <v>0.21871601696691401</v>
      </c>
      <c r="E8">
        <v>0.65121565787021396</v>
      </c>
      <c r="F8">
        <v>-0.25458930937267898</v>
      </c>
    </row>
    <row r="9" spans="1:6" x14ac:dyDescent="0.25">
      <c r="A9">
        <v>5</v>
      </c>
      <c r="B9">
        <v>147</v>
      </c>
      <c r="C9">
        <v>5300</v>
      </c>
      <c r="D9">
        <v>0.263313414507512</v>
      </c>
      <c r="E9">
        <v>0.58970333906371897</v>
      </c>
      <c r="F9">
        <v>-0.21675477052320299</v>
      </c>
    </row>
    <row r="10" spans="1:6" x14ac:dyDescent="0.25">
      <c r="A10">
        <v>6</v>
      </c>
      <c r="B10">
        <v>270</v>
      </c>
      <c r="C10">
        <v>-7000</v>
      </c>
      <c r="D10">
        <v>-8.4107155663900503E-3</v>
      </c>
      <c r="E10">
        <v>0.98284301470352797</v>
      </c>
      <c r="F10">
        <v>2.91664938337582E-2</v>
      </c>
    </row>
    <row r="11" spans="1:6" x14ac:dyDescent="0.25">
      <c r="A11">
        <v>7</v>
      </c>
      <c r="B11">
        <v>265</v>
      </c>
      <c r="C11">
        <v>-6500</v>
      </c>
      <c r="D11">
        <v>-1.3285990919975199E-2</v>
      </c>
      <c r="E11">
        <v>0.98488393454337997</v>
      </c>
      <c r="F11">
        <v>0.104297651062652</v>
      </c>
    </row>
    <row r="12" spans="1:6" x14ac:dyDescent="0.25">
      <c r="A12">
        <v>8</v>
      </c>
      <c r="B12">
        <v>232</v>
      </c>
      <c r="C12">
        <v>-3200</v>
      </c>
      <c r="D12">
        <v>-5.2226920803778399E-3</v>
      </c>
      <c r="E12">
        <v>0.97910640502988</v>
      </c>
      <c r="F12">
        <v>4.3715158959601796E-3</v>
      </c>
    </row>
    <row r="13" spans="1:6" x14ac:dyDescent="0.25">
      <c r="A13">
        <v>9</v>
      </c>
      <c r="B13">
        <v>142</v>
      </c>
      <c r="C13">
        <v>5800</v>
      </c>
      <c r="D13">
        <v>5.3252539172236803E-2</v>
      </c>
      <c r="E13">
        <v>0.87433411501625102</v>
      </c>
      <c r="F13">
        <v>-3.91949096680555E-2</v>
      </c>
    </row>
    <row r="14" spans="1:6" x14ac:dyDescent="0.25">
      <c r="A14">
        <v>10</v>
      </c>
      <c r="B14">
        <v>259</v>
      </c>
      <c r="C14">
        <v>-5900</v>
      </c>
      <c r="D14">
        <v>-3.9918074333474803E-3</v>
      </c>
      <c r="E14">
        <v>0.98163522561885197</v>
      </c>
      <c r="F14">
        <v>1.91910487543472E-3</v>
      </c>
    </row>
    <row r="15" spans="1:6" x14ac:dyDescent="0.25">
      <c r="A15">
        <v>11</v>
      </c>
      <c r="B15">
        <v>234</v>
      </c>
      <c r="C15">
        <v>-3400</v>
      </c>
      <c r="D15">
        <v>-5.9214307511664599E-3</v>
      </c>
      <c r="E15">
        <v>0.97788124106524599</v>
      </c>
      <c r="F15">
        <v>-6.0679295346903099E-3</v>
      </c>
    </row>
    <row r="16" spans="1:6" x14ac:dyDescent="0.25">
      <c r="A16">
        <v>12</v>
      </c>
      <c r="B16">
        <v>303</v>
      </c>
      <c r="C16">
        <v>-10300</v>
      </c>
      <c r="D16">
        <v>-6.7165485437378197E-3</v>
      </c>
      <c r="E16">
        <v>0.98562733994801899</v>
      </c>
      <c r="F16">
        <v>3.9748435611588204E-3</v>
      </c>
    </row>
    <row r="17" spans="1:6" x14ac:dyDescent="0.25">
      <c r="A17">
        <v>13</v>
      </c>
      <c r="B17">
        <v>276</v>
      </c>
      <c r="C17">
        <v>-7600</v>
      </c>
      <c r="D17">
        <v>-1.97174736251826E-3</v>
      </c>
      <c r="E17">
        <v>0.990567705370204</v>
      </c>
      <c r="F17">
        <v>5.7916706645013598E-3</v>
      </c>
    </row>
    <row r="18" spans="1:6" x14ac:dyDescent="0.25">
      <c r="A18">
        <v>14</v>
      </c>
      <c r="B18">
        <v>252</v>
      </c>
      <c r="C18">
        <v>-5200</v>
      </c>
      <c r="D18">
        <v>-5.6921168752074296E-3</v>
      </c>
      <c r="E18">
        <v>0.97360703919637803</v>
      </c>
      <c r="F18">
        <v>4.2894481460590802E-3</v>
      </c>
    </row>
    <row r="19" spans="1:6" x14ac:dyDescent="0.25">
      <c r="A19">
        <v>15</v>
      </c>
      <c r="B19">
        <v>261</v>
      </c>
      <c r="C19">
        <v>-6100</v>
      </c>
      <c r="D19">
        <v>-1.3324473698005299E-2</v>
      </c>
      <c r="E19">
        <v>0.98666009634752405</v>
      </c>
      <c r="F19">
        <v>7.8711482512001205E-2</v>
      </c>
    </row>
    <row r="20" spans="1:6" x14ac:dyDescent="0.25">
      <c r="A20">
        <v>16</v>
      </c>
      <c r="B20">
        <v>224</v>
      </c>
      <c r="C20">
        <v>-2400</v>
      </c>
      <c r="D20" s="1">
        <v>-1.2899688837275601E-4</v>
      </c>
      <c r="E20">
        <v>0.98669737483766096</v>
      </c>
      <c r="F20">
        <v>1.4486254408815299E-3</v>
      </c>
    </row>
    <row r="21" spans="1:6" x14ac:dyDescent="0.25">
      <c r="A21">
        <v>17</v>
      </c>
      <c r="B21">
        <v>393</v>
      </c>
      <c r="C21">
        <v>-19300</v>
      </c>
      <c r="D21">
        <v>-1.6668643316043799E-2</v>
      </c>
      <c r="E21">
        <v>0.98938511005714003</v>
      </c>
      <c r="F21">
        <v>9.8627864801995702E-2</v>
      </c>
    </row>
    <row r="22" spans="1:6" x14ac:dyDescent="0.25">
      <c r="A22">
        <v>18</v>
      </c>
      <c r="B22">
        <v>203</v>
      </c>
      <c r="C22">
        <v>-300</v>
      </c>
      <c r="D22" s="1">
        <v>9.5318240435959795E-5</v>
      </c>
      <c r="E22">
        <v>0.98624755147529597</v>
      </c>
      <c r="F22">
        <v>0</v>
      </c>
    </row>
    <row r="23" spans="1:6" x14ac:dyDescent="0.25">
      <c r="A23">
        <v>19</v>
      </c>
      <c r="B23">
        <v>180</v>
      </c>
      <c r="C23">
        <v>2000</v>
      </c>
      <c r="D23">
        <v>0.151641941673823</v>
      </c>
      <c r="E23">
        <v>0.72341224683604999</v>
      </c>
      <c r="F23">
        <v>-9.7910468117792998E-2</v>
      </c>
    </row>
    <row r="24" spans="1:6" x14ac:dyDescent="0.25">
      <c r="A24">
        <v>20</v>
      </c>
      <c r="B24">
        <v>224</v>
      </c>
      <c r="C24">
        <v>-2400</v>
      </c>
      <c r="D24">
        <v>-8.2325675279288895E-3</v>
      </c>
      <c r="E24">
        <v>0.95547173551381903</v>
      </c>
      <c r="F24">
        <v>4.7719312585747797E-3</v>
      </c>
    </row>
    <row r="25" spans="1:6" x14ac:dyDescent="0.25">
      <c r="A25">
        <v>21</v>
      </c>
      <c r="B25">
        <v>213</v>
      </c>
      <c r="C25">
        <v>-1300</v>
      </c>
      <c r="D25">
        <v>-1.37957192474669E-3</v>
      </c>
      <c r="E25">
        <v>0.97873013077538396</v>
      </c>
      <c r="F25">
        <v>2.1047689339612698E-3</v>
      </c>
    </row>
    <row r="26" spans="1:6" x14ac:dyDescent="0.25">
      <c r="A26">
        <v>22</v>
      </c>
      <c r="B26">
        <v>205</v>
      </c>
      <c r="C26">
        <v>-500</v>
      </c>
      <c r="D26" s="1">
        <v>-1.6885698974145001E-4</v>
      </c>
      <c r="E26">
        <v>0.98046776817131798</v>
      </c>
      <c r="F26" s="1">
        <v>-5.5136005584197002E-4</v>
      </c>
    </row>
    <row r="27" spans="1:6" x14ac:dyDescent="0.25">
      <c r="A27">
        <v>23</v>
      </c>
      <c r="B27">
        <v>182</v>
      </c>
      <c r="C27">
        <v>1800</v>
      </c>
      <c r="D27">
        <v>3.5423252826902699E-3</v>
      </c>
      <c r="E27">
        <v>0.96827604586155003</v>
      </c>
      <c r="F27" s="1">
        <v>-7.6083237656365799E-4</v>
      </c>
    </row>
    <row r="28" spans="1:6" x14ac:dyDescent="0.25">
      <c r="A28">
        <v>24</v>
      </c>
      <c r="B28">
        <v>228</v>
      </c>
      <c r="C28">
        <v>-2800</v>
      </c>
      <c r="D28">
        <v>-1.05980961316387E-3</v>
      </c>
      <c r="E28">
        <v>0.98228306136935395</v>
      </c>
      <c r="F28">
        <v>5.2323261747570697E-3</v>
      </c>
    </row>
    <row r="29" spans="1:6" x14ac:dyDescent="0.25">
      <c r="A29">
        <v>25</v>
      </c>
      <c r="B29">
        <v>328</v>
      </c>
      <c r="C29">
        <v>-12800</v>
      </c>
      <c r="D29">
        <v>-1.7963018864161399E-2</v>
      </c>
      <c r="E29">
        <v>0.99038113766120295</v>
      </c>
      <c r="F29">
        <v>0.131960652140344</v>
      </c>
    </row>
    <row r="30" spans="1:6" x14ac:dyDescent="0.25">
      <c r="A30">
        <v>26</v>
      </c>
      <c r="B30">
        <v>278</v>
      </c>
      <c r="C30">
        <v>-7800</v>
      </c>
      <c r="D30">
        <v>-1.62766472006129E-2</v>
      </c>
      <c r="E30">
        <v>0.98979603456309295</v>
      </c>
      <c r="F30">
        <v>5.1836604315231599E-2</v>
      </c>
    </row>
    <row r="31" spans="1:6" x14ac:dyDescent="0.25">
      <c r="A31">
        <v>27</v>
      </c>
      <c r="B31">
        <v>185</v>
      </c>
      <c r="C31">
        <v>1500</v>
      </c>
      <c r="D31" s="1">
        <v>5.3971013996834095E-4</v>
      </c>
      <c r="E31">
        <v>0.98524398271393998</v>
      </c>
      <c r="F31">
        <v>-1.80039045323332E-3</v>
      </c>
    </row>
    <row r="32" spans="1:6" x14ac:dyDescent="0.25">
      <c r="A32">
        <v>28</v>
      </c>
      <c r="B32">
        <v>269</v>
      </c>
      <c r="C32">
        <v>-6900</v>
      </c>
      <c r="D32">
        <v>-6.6104680525652599E-3</v>
      </c>
      <c r="E32">
        <v>0.986376844836934</v>
      </c>
      <c r="F32">
        <v>6.6104754297627803E-3</v>
      </c>
    </row>
    <row r="33" spans="1:6" x14ac:dyDescent="0.25">
      <c r="A33">
        <v>29</v>
      </c>
      <c r="B33">
        <v>297</v>
      </c>
      <c r="C33">
        <v>-9700</v>
      </c>
      <c r="D33">
        <v>-9.1487390000767693E-2</v>
      </c>
      <c r="E33">
        <v>0.98452890279568706</v>
      </c>
      <c r="F33">
        <v>0.27240253349211102</v>
      </c>
    </row>
    <row r="34" spans="1:6" x14ac:dyDescent="0.25">
      <c r="B34" t="s">
        <v>8</v>
      </c>
      <c r="C34">
        <f>SUM(C4:C33)</f>
        <v>-119100</v>
      </c>
      <c r="D34" t="s">
        <v>9</v>
      </c>
      <c r="E34">
        <f>AVERAGE(E4:E33)</f>
        <v>0.94645006033241097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"/>
  <sheetViews>
    <sheetView workbookViewId="0">
      <selection activeCell="D34" sqref="D34:E34"/>
    </sheetView>
  </sheetViews>
  <sheetFormatPr defaultRowHeight="15" x14ac:dyDescent="0.25"/>
  <cols>
    <col min="1" max="1" width="17.85546875" bestFit="1" customWidth="1"/>
    <col min="2" max="2" width="20.28515625" bestFit="1" customWidth="1"/>
    <col min="3" max="3" width="14.7109375" bestFit="1" customWidth="1"/>
    <col min="4" max="4" width="21.85546875" bestFit="1" customWidth="1"/>
    <col min="5" max="5" width="14.140625" bestFit="1" customWidth="1"/>
    <col min="6" max="6" width="11.5703125" bestFit="1" customWidth="1"/>
  </cols>
  <sheetData>
    <row r="1" spans="1:6" x14ac:dyDescent="0.25">
      <c r="A1" s="2" t="s">
        <v>3</v>
      </c>
      <c r="B1">
        <v>200</v>
      </c>
      <c r="C1" s="2" t="s">
        <v>7</v>
      </c>
      <c r="D1">
        <v>0.40590724234006298</v>
      </c>
    </row>
    <row r="3" spans="1:6" x14ac:dyDescent="0.25">
      <c r="A3" s="3" t="s">
        <v>1</v>
      </c>
      <c r="B3" s="3" t="s">
        <v>0</v>
      </c>
      <c r="C3" s="3" t="s">
        <v>2</v>
      </c>
      <c r="D3" s="3" t="s">
        <v>4</v>
      </c>
      <c r="E3" s="3" t="s">
        <v>6</v>
      </c>
      <c r="F3" s="3" t="s">
        <v>5</v>
      </c>
    </row>
    <row r="4" spans="1:6" x14ac:dyDescent="0.25">
      <c r="A4">
        <v>0</v>
      </c>
      <c r="B4">
        <v>219</v>
      </c>
      <c r="C4">
        <v>-1900</v>
      </c>
      <c r="D4">
        <v>-7.5461533183575598E-3</v>
      </c>
      <c r="E4">
        <v>0.94267934037183598</v>
      </c>
      <c r="F4">
        <v>3.8198108154760902E-3</v>
      </c>
    </row>
    <row r="5" spans="1:6" x14ac:dyDescent="0.25">
      <c r="A5">
        <v>1</v>
      </c>
      <c r="B5">
        <v>60</v>
      </c>
      <c r="C5">
        <v>14000</v>
      </c>
      <c r="D5">
        <v>0.377547050620409</v>
      </c>
      <c r="E5">
        <v>0</v>
      </c>
      <c r="F5">
        <v>-1.2142214752381799</v>
      </c>
    </row>
    <row r="6" spans="1:6" x14ac:dyDescent="0.25">
      <c r="A6">
        <v>2</v>
      </c>
      <c r="B6">
        <v>141</v>
      </c>
      <c r="C6">
        <v>5900</v>
      </c>
      <c r="D6">
        <v>6.8153197654401004E-2</v>
      </c>
      <c r="E6">
        <v>0.75387175903048598</v>
      </c>
      <c r="F6">
        <v>-7.0074214958807002E-2</v>
      </c>
    </row>
    <row r="7" spans="1:6" x14ac:dyDescent="0.25">
      <c r="A7">
        <v>3</v>
      </c>
      <c r="B7">
        <v>246</v>
      </c>
      <c r="C7">
        <v>-4600</v>
      </c>
      <c r="D7">
        <v>-1.06702363095526E-2</v>
      </c>
      <c r="E7">
        <v>0.95997457061735203</v>
      </c>
      <c r="F7">
        <v>9.3640710508028097E-3</v>
      </c>
    </row>
    <row r="8" spans="1:6" x14ac:dyDescent="0.25">
      <c r="A8">
        <v>4</v>
      </c>
      <c r="B8">
        <v>69</v>
      </c>
      <c r="C8">
        <v>13100</v>
      </c>
      <c r="D8">
        <v>0.372891562286988</v>
      </c>
      <c r="E8">
        <v>0</v>
      </c>
      <c r="F8">
        <v>-1.1840350230275001</v>
      </c>
    </row>
    <row r="9" spans="1:6" x14ac:dyDescent="0.25">
      <c r="A9">
        <v>5</v>
      </c>
      <c r="B9">
        <v>98</v>
      </c>
      <c r="C9">
        <v>10200</v>
      </c>
      <c r="D9">
        <v>0.23041701318945901</v>
      </c>
      <c r="E9">
        <v>0.361519819060303</v>
      </c>
      <c r="F9">
        <v>-0.34271872271019399</v>
      </c>
    </row>
    <row r="10" spans="1:6" x14ac:dyDescent="0.25">
      <c r="A10">
        <v>6</v>
      </c>
      <c r="B10">
        <v>500</v>
      </c>
      <c r="C10">
        <v>-30000</v>
      </c>
      <c r="D10">
        <v>-1.99630979222526E-2</v>
      </c>
      <c r="E10">
        <v>0.981196178212832</v>
      </c>
      <c r="F10">
        <v>1.54688456743761E-2</v>
      </c>
    </row>
    <row r="11" spans="1:6" x14ac:dyDescent="0.25">
      <c r="A11">
        <v>7</v>
      </c>
      <c r="B11">
        <v>171</v>
      </c>
      <c r="C11">
        <v>2900</v>
      </c>
      <c r="D11">
        <v>2.2276921921466401E-2</v>
      </c>
      <c r="E11">
        <v>0.85948885488357796</v>
      </c>
      <c r="F11">
        <v>-2.01434853155701E-2</v>
      </c>
    </row>
    <row r="12" spans="1:6" x14ac:dyDescent="0.25">
      <c r="A12">
        <v>8</v>
      </c>
      <c r="B12">
        <v>231</v>
      </c>
      <c r="C12">
        <v>-3100</v>
      </c>
      <c r="D12">
        <v>-1.12914898903886E-2</v>
      </c>
      <c r="E12">
        <v>0.94325203554481496</v>
      </c>
      <c r="F12">
        <v>1.4505734973628399E-2</v>
      </c>
    </row>
    <row r="13" spans="1:6" x14ac:dyDescent="0.25">
      <c r="A13">
        <v>9</v>
      </c>
      <c r="B13">
        <v>229</v>
      </c>
      <c r="C13">
        <v>-2900</v>
      </c>
      <c r="D13">
        <v>-9.4991580200638401E-3</v>
      </c>
      <c r="E13">
        <v>0.94868092646626401</v>
      </c>
      <c r="F13">
        <v>8.9788680184770594E-3</v>
      </c>
    </row>
    <row r="14" spans="1:6" x14ac:dyDescent="0.25">
      <c r="A14">
        <v>10</v>
      </c>
      <c r="B14">
        <v>230</v>
      </c>
      <c r="C14">
        <v>-3000</v>
      </c>
      <c r="D14">
        <v>-1.49609196936413E-2</v>
      </c>
      <c r="E14">
        <v>0.93353581905107297</v>
      </c>
      <c r="F14">
        <v>1.5916220751723699E-2</v>
      </c>
    </row>
    <row r="15" spans="1:6" x14ac:dyDescent="0.25">
      <c r="A15">
        <v>11</v>
      </c>
      <c r="B15">
        <v>103</v>
      </c>
      <c r="C15">
        <v>9700</v>
      </c>
      <c r="D15">
        <v>0.223530628901807</v>
      </c>
      <c r="E15">
        <v>0.36979884545372599</v>
      </c>
      <c r="F15">
        <v>-0.31100727658218902</v>
      </c>
    </row>
    <row r="16" spans="1:6" x14ac:dyDescent="0.25">
      <c r="A16">
        <v>12</v>
      </c>
      <c r="B16">
        <v>158</v>
      </c>
      <c r="C16">
        <v>4200</v>
      </c>
      <c r="D16">
        <v>4.4344170711077699E-2</v>
      </c>
      <c r="E16">
        <v>0.82152337608222104</v>
      </c>
      <c r="F16">
        <v>-5.0674695337909699E-2</v>
      </c>
    </row>
    <row r="17" spans="1:6" x14ac:dyDescent="0.25">
      <c r="A17">
        <v>13</v>
      </c>
      <c r="B17">
        <v>134</v>
      </c>
      <c r="C17">
        <v>6600</v>
      </c>
      <c r="D17">
        <v>8.4834102632037695E-2</v>
      </c>
      <c r="E17">
        <v>0.72709657301336394</v>
      </c>
      <c r="F17">
        <v>-8.5323927216879494E-2</v>
      </c>
    </row>
    <row r="18" spans="1:6" x14ac:dyDescent="0.25">
      <c r="A18">
        <v>14</v>
      </c>
      <c r="B18">
        <v>303</v>
      </c>
      <c r="C18">
        <v>-10300</v>
      </c>
      <c r="D18">
        <v>-2.38693764393027E-2</v>
      </c>
      <c r="E18">
        <v>0.97260637255988103</v>
      </c>
      <c r="F18">
        <v>1.5645896908951299E-2</v>
      </c>
    </row>
    <row r="19" spans="1:6" x14ac:dyDescent="0.25">
      <c r="A19">
        <v>15</v>
      </c>
      <c r="B19">
        <v>172</v>
      </c>
      <c r="C19">
        <v>2800</v>
      </c>
      <c r="D19">
        <v>1.9585690169363901E-2</v>
      </c>
      <c r="E19">
        <v>0.86583145436411202</v>
      </c>
      <c r="F19">
        <v>-2.3754180001397399E-2</v>
      </c>
    </row>
    <row r="20" spans="1:6" x14ac:dyDescent="0.25">
      <c r="A20">
        <v>16</v>
      </c>
      <c r="B20">
        <v>62</v>
      </c>
      <c r="C20">
        <v>13800</v>
      </c>
      <c r="D20">
        <v>0.37039851748678898</v>
      </c>
      <c r="E20">
        <v>0</v>
      </c>
      <c r="F20">
        <v>-1.06692643429668</v>
      </c>
    </row>
    <row r="21" spans="1:6" x14ac:dyDescent="0.25">
      <c r="A21">
        <v>17</v>
      </c>
      <c r="B21">
        <v>387</v>
      </c>
      <c r="C21">
        <v>-18700</v>
      </c>
      <c r="D21">
        <v>-2.0514068090432599E-2</v>
      </c>
      <c r="E21">
        <v>0.98099632195519104</v>
      </c>
      <c r="F21">
        <v>1.6243311531219599E-2</v>
      </c>
    </row>
    <row r="22" spans="1:6" x14ac:dyDescent="0.25">
      <c r="A22">
        <v>18</v>
      </c>
      <c r="B22">
        <v>88</v>
      </c>
      <c r="C22">
        <v>11200</v>
      </c>
      <c r="D22">
        <v>0.284538154869308</v>
      </c>
      <c r="E22">
        <v>0.21048115006931201</v>
      </c>
      <c r="F22">
        <v>-0.46301180079864301</v>
      </c>
    </row>
    <row r="23" spans="1:6" x14ac:dyDescent="0.25">
      <c r="A23">
        <v>19</v>
      </c>
      <c r="B23">
        <v>58</v>
      </c>
      <c r="C23">
        <v>14200</v>
      </c>
      <c r="D23">
        <v>0.368053200756775</v>
      </c>
      <c r="E23">
        <v>0</v>
      </c>
      <c r="F23">
        <v>-1.69854676244289</v>
      </c>
    </row>
    <row r="24" spans="1:6" x14ac:dyDescent="0.25">
      <c r="A24">
        <v>20</v>
      </c>
      <c r="B24">
        <v>75</v>
      </c>
      <c r="C24">
        <v>12500</v>
      </c>
      <c r="D24">
        <v>0.36981182124253298</v>
      </c>
      <c r="E24">
        <v>0</v>
      </c>
      <c r="F24">
        <v>-0.94912546798061004</v>
      </c>
    </row>
    <row r="25" spans="1:6" x14ac:dyDescent="0.25">
      <c r="A25">
        <v>21</v>
      </c>
      <c r="B25">
        <v>56</v>
      </c>
      <c r="C25">
        <v>14400</v>
      </c>
      <c r="D25">
        <v>0.37457893497692801</v>
      </c>
      <c r="E25">
        <v>0</v>
      </c>
      <c r="F25">
        <v>-1.80430025814446</v>
      </c>
    </row>
    <row r="26" spans="1:6" x14ac:dyDescent="0.25">
      <c r="A26">
        <v>22</v>
      </c>
      <c r="B26">
        <v>215</v>
      </c>
      <c r="C26">
        <v>-1500</v>
      </c>
      <c r="D26">
        <v>-6.6560521352553303E-3</v>
      </c>
      <c r="E26">
        <v>0.92674014164110097</v>
      </c>
      <c r="F26">
        <v>1.33636024190034E-2</v>
      </c>
    </row>
    <row r="27" spans="1:6" x14ac:dyDescent="0.25">
      <c r="A27">
        <v>23</v>
      </c>
      <c r="B27">
        <v>121</v>
      </c>
      <c r="C27">
        <v>7900</v>
      </c>
      <c r="D27">
        <v>0.183649204813984</v>
      </c>
      <c r="E27">
        <v>0.454947279071924</v>
      </c>
      <c r="F27">
        <v>-0.25131193831996201</v>
      </c>
    </row>
    <row r="28" spans="1:6" x14ac:dyDescent="0.25">
      <c r="A28">
        <v>24</v>
      </c>
      <c r="B28">
        <v>90</v>
      </c>
      <c r="C28">
        <v>11000</v>
      </c>
      <c r="D28">
        <v>0.300063045602809</v>
      </c>
      <c r="E28">
        <v>0.18692930886140299</v>
      </c>
      <c r="F28">
        <v>-0.48756962261563502</v>
      </c>
    </row>
    <row r="29" spans="1:6" x14ac:dyDescent="0.25">
      <c r="A29">
        <v>25</v>
      </c>
      <c r="B29">
        <v>204</v>
      </c>
      <c r="C29">
        <v>-400</v>
      </c>
      <c r="D29">
        <v>-1.7782357425691799E-3</v>
      </c>
      <c r="E29">
        <v>0.92213591513005999</v>
      </c>
      <c r="F29">
        <v>0</v>
      </c>
    </row>
    <row r="30" spans="1:6" x14ac:dyDescent="0.25">
      <c r="A30">
        <v>26</v>
      </c>
      <c r="B30">
        <v>192</v>
      </c>
      <c r="C30">
        <v>800</v>
      </c>
      <c r="D30">
        <v>4.0416300755913197E-3</v>
      </c>
      <c r="E30">
        <v>0.91198864494099496</v>
      </c>
      <c r="F30" s="1">
        <v>-2.6095160997089502E-4</v>
      </c>
    </row>
    <row r="31" spans="1:6" x14ac:dyDescent="0.25">
      <c r="A31">
        <v>27</v>
      </c>
      <c r="B31">
        <v>77</v>
      </c>
      <c r="C31">
        <v>12300</v>
      </c>
      <c r="D31">
        <v>0.37152537491821602</v>
      </c>
      <c r="E31">
        <v>3.1612277210366102E-3</v>
      </c>
      <c r="F31">
        <v>-0.74697105233851402</v>
      </c>
    </row>
    <row r="32" spans="1:6" x14ac:dyDescent="0.25">
      <c r="A32">
        <v>28</v>
      </c>
      <c r="B32">
        <v>251</v>
      </c>
      <c r="C32">
        <v>-5100</v>
      </c>
      <c r="D32">
        <v>-1.6330111340350301E-2</v>
      </c>
      <c r="E32">
        <v>0.95280765996606298</v>
      </c>
      <c r="F32">
        <v>1.8625747914139301E-2</v>
      </c>
    </row>
    <row r="33" spans="1:6" x14ac:dyDescent="0.25">
      <c r="A33">
        <v>29</v>
      </c>
      <c r="B33">
        <v>97</v>
      </c>
      <c r="C33">
        <v>10300</v>
      </c>
      <c r="D33">
        <v>0.251164794465497</v>
      </c>
      <c r="E33">
        <v>0.30350775947186798</v>
      </c>
      <c r="F33">
        <v>-0.38463177904765999</v>
      </c>
    </row>
    <row r="34" spans="1:6" x14ac:dyDescent="0.25">
      <c r="B34" t="s">
        <v>8</v>
      </c>
      <c r="C34">
        <f>SUM(C4:C33)</f>
        <v>96300</v>
      </c>
      <c r="D34" t="s">
        <v>9</v>
      </c>
      <c r="E34">
        <f>AVERAGE(E4:E33)</f>
        <v>0.57649171111802644</v>
      </c>
    </row>
    <row r="55" spans="6:6" x14ac:dyDescent="0.25">
      <c r="F55" s="1"/>
    </row>
  </sheetData>
  <conditionalFormatting sqref="B4:B33">
    <cfRule type="cellIs" dxfId="0" priority="1" operator="lessThan">
      <formula>100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D34" sqref="D34:E34"/>
    </sheetView>
  </sheetViews>
  <sheetFormatPr defaultRowHeight="15" x14ac:dyDescent="0.25"/>
  <cols>
    <col min="1" max="1" width="17.85546875" bestFit="1" customWidth="1"/>
    <col min="2" max="2" width="20.28515625" bestFit="1" customWidth="1"/>
    <col min="3" max="3" width="14.7109375" bestFit="1" customWidth="1"/>
    <col min="4" max="4" width="21.85546875" bestFit="1" customWidth="1"/>
    <col min="5" max="5" width="14.140625" bestFit="1" customWidth="1"/>
    <col min="6" max="6" width="11.5703125" bestFit="1" customWidth="1"/>
  </cols>
  <sheetData>
    <row r="1" spans="1:6" x14ac:dyDescent="0.25">
      <c r="A1" s="2" t="s">
        <v>3</v>
      </c>
      <c r="B1">
        <v>300</v>
      </c>
      <c r="C1" s="2" t="s">
        <v>7</v>
      </c>
      <c r="D1">
        <v>0.46783583650461702</v>
      </c>
    </row>
    <row r="3" spans="1:6" x14ac:dyDescent="0.25">
      <c r="A3" s="3" t="s">
        <v>1</v>
      </c>
      <c r="B3" s="3" t="s">
        <v>0</v>
      </c>
      <c r="C3" s="3" t="s">
        <v>2</v>
      </c>
      <c r="D3" s="3" t="s">
        <v>4</v>
      </c>
      <c r="E3" s="3" t="s">
        <v>6</v>
      </c>
      <c r="F3" s="3" t="s">
        <v>5</v>
      </c>
    </row>
    <row r="4" spans="1:6" x14ac:dyDescent="0.25">
      <c r="A4">
        <v>0</v>
      </c>
      <c r="B4">
        <v>89</v>
      </c>
      <c r="C4">
        <v>21100</v>
      </c>
      <c r="D4">
        <v>6.8285377204480502E-3</v>
      </c>
      <c r="E4">
        <v>0.77436499113417001</v>
      </c>
      <c r="F4">
        <v>-3.6535029671500102E-2</v>
      </c>
    </row>
    <row r="5" spans="1:6" x14ac:dyDescent="0.25">
      <c r="A5">
        <v>1</v>
      </c>
      <c r="B5">
        <v>106</v>
      </c>
      <c r="C5">
        <v>19400</v>
      </c>
      <c r="D5">
        <v>-1.7812430263620599E-3</v>
      </c>
      <c r="E5">
        <v>0.80217779861252603</v>
      </c>
      <c r="F5">
        <v>1.4675506133468E-3</v>
      </c>
    </row>
    <row r="6" spans="1:6" x14ac:dyDescent="0.25">
      <c r="A6">
        <v>2</v>
      </c>
      <c r="B6">
        <v>86</v>
      </c>
      <c r="C6">
        <v>21400</v>
      </c>
      <c r="D6">
        <v>1.15041662822211E-2</v>
      </c>
      <c r="E6">
        <v>0.78152855065406002</v>
      </c>
      <c r="F6">
        <v>-2.3010561786476701E-3</v>
      </c>
    </row>
    <row r="7" spans="1:6" x14ac:dyDescent="0.25">
      <c r="A7">
        <v>3</v>
      </c>
      <c r="B7">
        <v>90</v>
      </c>
      <c r="C7">
        <v>21000</v>
      </c>
      <c r="D7">
        <v>1.15726540871041E-2</v>
      </c>
      <c r="E7">
        <v>0.78321765749559702</v>
      </c>
      <c r="F7">
        <v>-2.9082730606477199E-2</v>
      </c>
    </row>
    <row r="8" spans="1:6" x14ac:dyDescent="0.25">
      <c r="A8">
        <v>4</v>
      </c>
      <c r="B8">
        <v>128</v>
      </c>
      <c r="C8">
        <v>17200</v>
      </c>
      <c r="D8">
        <v>-1.03243018923072E-2</v>
      </c>
      <c r="E8">
        <v>0.80025739804461504</v>
      </c>
      <c r="F8">
        <v>3.3547020427374799E-2</v>
      </c>
    </row>
    <row r="9" spans="1:6" x14ac:dyDescent="0.25">
      <c r="A9">
        <v>5</v>
      </c>
      <c r="B9">
        <v>95</v>
      </c>
      <c r="C9">
        <v>20500</v>
      </c>
      <c r="D9">
        <v>2.2315629904760301E-2</v>
      </c>
      <c r="E9">
        <v>0.75759963953192</v>
      </c>
      <c r="F9">
        <v>-2.7226830001258098E-2</v>
      </c>
    </row>
    <row r="10" spans="1:6" x14ac:dyDescent="0.25">
      <c r="A10">
        <v>6</v>
      </c>
      <c r="B10">
        <v>102</v>
      </c>
      <c r="C10">
        <v>19800</v>
      </c>
      <c r="D10">
        <v>-3.9427572980056903E-3</v>
      </c>
      <c r="E10">
        <v>0.80123188849531701</v>
      </c>
      <c r="F10">
        <v>1.47153077308439E-2</v>
      </c>
    </row>
    <row r="11" spans="1:6" x14ac:dyDescent="0.25">
      <c r="A11">
        <v>7</v>
      </c>
      <c r="B11">
        <v>91</v>
      </c>
      <c r="C11">
        <v>20900</v>
      </c>
      <c r="D11">
        <v>-4.0819936153622099E-3</v>
      </c>
      <c r="E11">
        <v>0.79194705169263402</v>
      </c>
      <c r="F11">
        <v>2.6752615165469101E-2</v>
      </c>
    </row>
    <row r="12" spans="1:6" x14ac:dyDescent="0.25">
      <c r="A12">
        <v>8</v>
      </c>
      <c r="B12">
        <v>87</v>
      </c>
      <c r="C12">
        <v>21300</v>
      </c>
      <c r="D12">
        <v>4.1944340653742298E-3</v>
      </c>
      <c r="E12">
        <v>0.79530925415002196</v>
      </c>
      <c r="F12">
        <v>4.3015006239444598E-2</v>
      </c>
    </row>
    <row r="13" spans="1:6" x14ac:dyDescent="0.25">
      <c r="A13">
        <v>9</v>
      </c>
      <c r="B13">
        <v>122</v>
      </c>
      <c r="C13">
        <v>17800</v>
      </c>
      <c r="D13">
        <v>5.9855492427052202E-3</v>
      </c>
      <c r="E13">
        <v>0.78810417446985703</v>
      </c>
      <c r="F13">
        <v>-1.2398493184265801E-2</v>
      </c>
    </row>
    <row r="14" spans="1:6" x14ac:dyDescent="0.25">
      <c r="A14">
        <v>10</v>
      </c>
      <c r="B14">
        <v>118</v>
      </c>
      <c r="C14">
        <v>18200</v>
      </c>
      <c r="D14">
        <v>-1.5205760526103499E-3</v>
      </c>
      <c r="E14">
        <v>0.80032482723117504</v>
      </c>
      <c r="F14">
        <v>-1.1238123454104E-2</v>
      </c>
    </row>
    <row r="15" spans="1:6" x14ac:dyDescent="0.25">
      <c r="A15">
        <v>11</v>
      </c>
      <c r="B15">
        <v>154</v>
      </c>
      <c r="C15">
        <v>14600</v>
      </c>
      <c r="D15">
        <v>4.4242145473161699E-3</v>
      </c>
      <c r="E15">
        <v>0.78077267073187695</v>
      </c>
      <c r="F15">
        <v>-6.4259516686617701E-3</v>
      </c>
    </row>
    <row r="16" spans="1:6" x14ac:dyDescent="0.25">
      <c r="A16">
        <v>12</v>
      </c>
      <c r="B16">
        <v>112</v>
      </c>
      <c r="C16">
        <v>18800</v>
      </c>
      <c r="D16">
        <v>-5.0686871860363102E-3</v>
      </c>
      <c r="E16">
        <v>0.80675927126091596</v>
      </c>
      <c r="F16">
        <v>-1.5040684506399201E-2</v>
      </c>
    </row>
    <row r="17" spans="1:6" x14ac:dyDescent="0.25">
      <c r="A17">
        <v>13</v>
      </c>
      <c r="B17">
        <v>89</v>
      </c>
      <c r="C17">
        <v>21100</v>
      </c>
      <c r="D17">
        <v>1.83129663174019E-2</v>
      </c>
      <c r="E17">
        <v>0.77401768602432497</v>
      </c>
      <c r="F17">
        <v>1.1710418563115599E-3</v>
      </c>
    </row>
    <row r="18" spans="1:6" x14ac:dyDescent="0.25">
      <c r="A18">
        <v>14</v>
      </c>
      <c r="B18">
        <v>97</v>
      </c>
      <c r="C18">
        <v>20300</v>
      </c>
      <c r="D18">
        <v>5.9543645753689601E-3</v>
      </c>
      <c r="E18">
        <v>0.79860732100562604</v>
      </c>
      <c r="F18">
        <v>-1.8614187586653699E-2</v>
      </c>
    </row>
    <row r="19" spans="1:6" x14ac:dyDescent="0.25">
      <c r="A19">
        <v>15</v>
      </c>
      <c r="B19">
        <v>94</v>
      </c>
      <c r="C19">
        <v>20600</v>
      </c>
      <c r="D19">
        <v>2.1065040860538298E-3</v>
      </c>
      <c r="E19">
        <v>0.78588580915635997</v>
      </c>
      <c r="F19">
        <v>-2.11779337502087E-2</v>
      </c>
    </row>
    <row r="20" spans="1:6" x14ac:dyDescent="0.25">
      <c r="A20">
        <v>16</v>
      </c>
      <c r="B20">
        <v>145</v>
      </c>
      <c r="C20">
        <v>15500</v>
      </c>
      <c r="D20">
        <v>-7.7039082267317798E-3</v>
      </c>
      <c r="E20">
        <v>0.81797164145968604</v>
      </c>
      <c r="F20">
        <v>2.9152638894912502E-3</v>
      </c>
    </row>
    <row r="21" spans="1:6" x14ac:dyDescent="0.25">
      <c r="A21">
        <v>17</v>
      </c>
      <c r="B21">
        <v>154</v>
      </c>
      <c r="C21">
        <v>14600</v>
      </c>
      <c r="D21" s="1">
        <v>5.1849052488101E-4</v>
      </c>
      <c r="E21">
        <v>0.79508273592183398</v>
      </c>
      <c r="F21">
        <v>9.1143764287142798E-2</v>
      </c>
    </row>
    <row r="22" spans="1:6" x14ac:dyDescent="0.25">
      <c r="A22">
        <v>18</v>
      </c>
      <c r="B22">
        <v>120</v>
      </c>
      <c r="C22">
        <v>18000</v>
      </c>
      <c r="D22">
        <v>-2.1723171440140498E-3</v>
      </c>
      <c r="E22">
        <v>0.78623598072904499</v>
      </c>
      <c r="F22">
        <v>2.9163089003310799E-2</v>
      </c>
    </row>
    <row r="23" spans="1:6" x14ac:dyDescent="0.25">
      <c r="A23">
        <v>19</v>
      </c>
      <c r="B23">
        <v>129</v>
      </c>
      <c r="C23">
        <v>17100</v>
      </c>
      <c r="D23">
        <v>6.1742529561971101E-3</v>
      </c>
      <c r="E23">
        <v>0.79438614594666301</v>
      </c>
      <c r="F23" s="1">
        <v>-7.3466645591996305E-4</v>
      </c>
    </row>
    <row r="24" spans="1:6" x14ac:dyDescent="0.25">
      <c r="A24">
        <v>20</v>
      </c>
      <c r="B24">
        <v>95</v>
      </c>
      <c r="C24">
        <v>20500</v>
      </c>
      <c r="D24">
        <v>2.5287619073625601E-3</v>
      </c>
      <c r="E24">
        <v>0.794838439274686</v>
      </c>
      <c r="F24">
        <v>-1.4474323063490099E-2</v>
      </c>
    </row>
    <row r="25" spans="1:6" x14ac:dyDescent="0.25">
      <c r="A25">
        <v>21</v>
      </c>
      <c r="B25">
        <v>90</v>
      </c>
      <c r="C25">
        <v>21000</v>
      </c>
      <c r="D25">
        <v>8.9431685973012098E-3</v>
      </c>
      <c r="E25">
        <v>0.78411748709807005</v>
      </c>
      <c r="F25">
        <v>-1.4666085283480399E-2</v>
      </c>
    </row>
    <row r="26" spans="1:6" x14ac:dyDescent="0.25">
      <c r="A26">
        <v>22</v>
      </c>
      <c r="B26">
        <v>95</v>
      </c>
      <c r="C26">
        <v>20500</v>
      </c>
      <c r="D26">
        <v>-6.54585494199794E-3</v>
      </c>
      <c r="E26">
        <v>0.80530128833091597</v>
      </c>
      <c r="F26">
        <v>5.4873279348653901E-3</v>
      </c>
    </row>
    <row r="27" spans="1:6" x14ac:dyDescent="0.25">
      <c r="A27">
        <v>23</v>
      </c>
      <c r="B27">
        <v>97</v>
      </c>
      <c r="C27">
        <v>20300</v>
      </c>
      <c r="D27" s="1">
        <v>-2.9200672475249102E-4</v>
      </c>
      <c r="E27">
        <v>0.804556953052185</v>
      </c>
      <c r="F27">
        <v>3.3292849450299498E-2</v>
      </c>
    </row>
    <row r="28" spans="1:6" x14ac:dyDescent="0.25">
      <c r="A28">
        <v>24</v>
      </c>
      <c r="B28">
        <v>91</v>
      </c>
      <c r="C28">
        <v>20900</v>
      </c>
      <c r="D28">
        <v>8.7279648790367093E-3</v>
      </c>
      <c r="E28">
        <v>0.77124397617610596</v>
      </c>
      <c r="F28">
        <v>1.8729859539121201E-2</v>
      </c>
    </row>
    <row r="29" spans="1:6" x14ac:dyDescent="0.25">
      <c r="A29">
        <v>25</v>
      </c>
      <c r="B29">
        <v>139</v>
      </c>
      <c r="C29">
        <v>16100</v>
      </c>
      <c r="D29">
        <v>-2.9188587125363302E-3</v>
      </c>
      <c r="E29">
        <v>0.80702273295786098</v>
      </c>
      <c r="F29">
        <v>2.3295079612731802E-3</v>
      </c>
    </row>
    <row r="30" spans="1:6" x14ac:dyDescent="0.25">
      <c r="A30">
        <v>26</v>
      </c>
      <c r="B30">
        <v>109</v>
      </c>
      <c r="C30">
        <v>19100</v>
      </c>
      <c r="D30">
        <v>2.4004872730633E-3</v>
      </c>
      <c r="E30">
        <v>0.78954839198133697</v>
      </c>
      <c r="F30">
        <v>-8.20997221326214E-3</v>
      </c>
    </row>
    <row r="31" spans="1:6" x14ac:dyDescent="0.25">
      <c r="A31">
        <v>27</v>
      </c>
      <c r="B31">
        <v>131</v>
      </c>
      <c r="C31">
        <v>16900</v>
      </c>
      <c r="D31">
        <v>-3.8477795431241502E-3</v>
      </c>
      <c r="E31">
        <v>0.80896085794306405</v>
      </c>
      <c r="F31">
        <v>7.7431777921155298E-3</v>
      </c>
    </row>
    <row r="32" spans="1:6" x14ac:dyDescent="0.25">
      <c r="A32">
        <v>28</v>
      </c>
      <c r="B32">
        <v>132</v>
      </c>
      <c r="C32">
        <v>16800</v>
      </c>
      <c r="D32">
        <v>-3.4616340061623301E-3</v>
      </c>
      <c r="E32">
        <v>0.79679322874720504</v>
      </c>
      <c r="F32">
        <v>3.8305146468709902E-2</v>
      </c>
    </row>
    <row r="33" spans="1:6" x14ac:dyDescent="0.25">
      <c r="A33">
        <v>29</v>
      </c>
      <c r="B33">
        <v>81</v>
      </c>
      <c r="C33">
        <v>21900</v>
      </c>
      <c r="D33">
        <v>1.5682073591525202E-2</v>
      </c>
      <c r="E33">
        <v>0.77002016573791299</v>
      </c>
      <c r="F33">
        <v>-1.21740165450427E-2</v>
      </c>
    </row>
    <row r="34" spans="1:6" x14ac:dyDescent="0.25">
      <c r="B34" t="s">
        <v>8</v>
      </c>
      <c r="C34">
        <f>SUM(C4:C33)</f>
        <v>573200</v>
      </c>
      <c r="D34" t="s">
        <v>9</v>
      </c>
      <c r="E34">
        <f>AVERAGE(E4:E33)</f>
        <v>0.79160620050158537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ZDT1</vt:lpstr>
      <vt:lpstr>ZDT2</vt:lpstr>
      <vt:lpstr>ZDT3</vt:lpstr>
      <vt:lpstr>ZDT4</vt:lpstr>
      <vt:lpstr>ZDT6</vt:lpstr>
      <vt:lpstr>DTLZ2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2014-12-16T09:59:49Z</dcterms:created>
  <dcterms:modified xsi:type="dcterms:W3CDTF">2014-12-16T15:58:48Z</dcterms:modified>
</cp:coreProperties>
</file>