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IS\"/>
    </mc:Choice>
  </mc:AlternateContent>
  <bookViews>
    <workbookView xWindow="0" yWindow="0" windowWidth="19200" windowHeight="7155"/>
  </bookViews>
  <sheets>
    <sheet name="Sheet6" sheetId="6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6" l="1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5" i="6"/>
  <c r="AB6" i="6" l="1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W23" i="6" s="1"/>
  <c r="Y23" i="6" s="1"/>
  <c r="V24" i="6"/>
  <c r="V25" i="6"/>
  <c r="V26" i="6"/>
  <c r="V27" i="6"/>
  <c r="V28" i="6"/>
  <c r="V29" i="6"/>
  <c r="V30" i="6"/>
  <c r="V31" i="6"/>
  <c r="W31" i="6" s="1"/>
  <c r="Y31" i="6" s="1"/>
  <c r="V32" i="6"/>
  <c r="V33" i="6"/>
  <c r="V34" i="6"/>
  <c r="V35" i="6"/>
  <c r="V36" i="6"/>
  <c r="V37" i="6"/>
  <c r="V38" i="6"/>
  <c r="V39" i="6"/>
  <c r="W39" i="6" s="1"/>
  <c r="Y39" i="6" s="1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W63" i="6" s="1"/>
  <c r="Y63" i="6" s="1"/>
  <c r="V64" i="6"/>
  <c r="V65" i="6"/>
  <c r="V66" i="6"/>
  <c r="V67" i="6"/>
  <c r="V68" i="6"/>
  <c r="V69" i="6"/>
  <c r="V70" i="6"/>
  <c r="V71" i="6"/>
  <c r="W71" i="6" s="1"/>
  <c r="Y71" i="6" s="1"/>
  <c r="V72" i="6"/>
  <c r="V73" i="6"/>
  <c r="V74" i="6"/>
  <c r="V75" i="6"/>
  <c r="V76" i="6"/>
  <c r="V77" i="6"/>
  <c r="V78" i="6"/>
  <c r="V79" i="6"/>
  <c r="W79" i="6" s="1"/>
  <c r="Y79" i="6" s="1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W103" i="6" s="1"/>
  <c r="Y103" i="6" s="1"/>
  <c r="V104" i="6"/>
  <c r="V105" i="6"/>
  <c r="V106" i="6"/>
  <c r="V107" i="6"/>
  <c r="V108" i="6"/>
  <c r="V109" i="6"/>
  <c r="V110" i="6"/>
  <c r="V111" i="6"/>
  <c r="W111" i="6" s="1"/>
  <c r="Y111" i="6" s="1"/>
  <c r="V112" i="6"/>
  <c r="V113" i="6"/>
  <c r="V114" i="6"/>
  <c r="V115" i="6"/>
  <c r="V116" i="6"/>
  <c r="V117" i="6"/>
  <c r="V118" i="6"/>
  <c r="V119" i="6"/>
  <c r="W119" i="6" s="1"/>
  <c r="Y119" i="6" s="1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W143" i="6" s="1"/>
  <c r="Y143" i="6" s="1"/>
  <c r="V144" i="6"/>
  <c r="V145" i="6"/>
  <c r="V146" i="6"/>
  <c r="V147" i="6"/>
  <c r="V148" i="6"/>
  <c r="V149" i="6"/>
  <c r="V150" i="6"/>
  <c r="V151" i="6"/>
  <c r="W151" i="6" s="1"/>
  <c r="Y151" i="6" s="1"/>
  <c r="V152" i="6"/>
  <c r="V153" i="6"/>
  <c r="V154" i="6"/>
  <c r="V155" i="6"/>
  <c r="V156" i="6"/>
  <c r="V157" i="6"/>
  <c r="V158" i="6"/>
  <c r="V159" i="6"/>
  <c r="W159" i="6" s="1"/>
  <c r="Y159" i="6" s="1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W175" i="6" s="1"/>
  <c r="Y175" i="6" s="1"/>
  <c r="V176" i="6"/>
  <c r="V177" i="6"/>
  <c r="V178" i="6"/>
  <c r="V179" i="6"/>
  <c r="V180" i="6"/>
  <c r="V181" i="6"/>
  <c r="V182" i="6"/>
  <c r="V183" i="6"/>
  <c r="W183" i="6" s="1"/>
  <c r="Y183" i="6" s="1"/>
  <c r="V184" i="6"/>
  <c r="V185" i="6"/>
  <c r="V186" i="6"/>
  <c r="V187" i="6"/>
  <c r="V188" i="6"/>
  <c r="V189" i="6"/>
  <c r="V190" i="6"/>
  <c r="V191" i="6"/>
  <c r="V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5" i="6"/>
  <c r="T6" i="6"/>
  <c r="T7" i="6"/>
  <c r="T8" i="6"/>
  <c r="T9" i="6"/>
  <c r="W9" i="6" s="1"/>
  <c r="Y9" i="6" s="1"/>
  <c r="T10" i="6"/>
  <c r="T11" i="6"/>
  <c r="T12" i="6"/>
  <c r="T13" i="6"/>
  <c r="W13" i="6" s="1"/>
  <c r="Y13" i="6" s="1"/>
  <c r="T14" i="6"/>
  <c r="T15" i="6"/>
  <c r="T16" i="6"/>
  <c r="T17" i="6"/>
  <c r="W17" i="6" s="1"/>
  <c r="Y17" i="6" s="1"/>
  <c r="T18" i="6"/>
  <c r="T19" i="6"/>
  <c r="T20" i="6"/>
  <c r="T21" i="6"/>
  <c r="W21" i="6" s="1"/>
  <c r="Y21" i="6" s="1"/>
  <c r="T22" i="6"/>
  <c r="T23" i="6"/>
  <c r="T24" i="6"/>
  <c r="T25" i="6"/>
  <c r="T26" i="6"/>
  <c r="T27" i="6"/>
  <c r="T28" i="6"/>
  <c r="T29" i="6"/>
  <c r="W29" i="6" s="1"/>
  <c r="Y29" i="6" s="1"/>
  <c r="T30" i="6"/>
  <c r="T31" i="6"/>
  <c r="T32" i="6"/>
  <c r="T33" i="6"/>
  <c r="W33" i="6" s="1"/>
  <c r="Y33" i="6" s="1"/>
  <c r="T34" i="6"/>
  <c r="T35" i="6"/>
  <c r="T36" i="6"/>
  <c r="T37" i="6"/>
  <c r="T38" i="6"/>
  <c r="T39" i="6"/>
  <c r="T40" i="6"/>
  <c r="T41" i="6"/>
  <c r="W41" i="6" s="1"/>
  <c r="Y41" i="6" s="1"/>
  <c r="T42" i="6"/>
  <c r="T43" i="6"/>
  <c r="T44" i="6"/>
  <c r="T45" i="6"/>
  <c r="T46" i="6"/>
  <c r="T47" i="6"/>
  <c r="T48" i="6"/>
  <c r="T49" i="6"/>
  <c r="W49" i="6" s="1"/>
  <c r="Y49" i="6" s="1"/>
  <c r="T50" i="6"/>
  <c r="T51" i="6"/>
  <c r="T52" i="6"/>
  <c r="T53" i="6"/>
  <c r="W53" i="6" s="1"/>
  <c r="Y53" i="6" s="1"/>
  <c r="T54" i="6"/>
  <c r="T55" i="6"/>
  <c r="T56" i="6"/>
  <c r="T57" i="6"/>
  <c r="W57" i="6" s="1"/>
  <c r="Y57" i="6" s="1"/>
  <c r="T58" i="6"/>
  <c r="T59" i="6"/>
  <c r="T60" i="6"/>
  <c r="T61" i="6"/>
  <c r="W61" i="6" s="1"/>
  <c r="Y61" i="6" s="1"/>
  <c r="T62" i="6"/>
  <c r="T63" i="6"/>
  <c r="T64" i="6"/>
  <c r="T65" i="6"/>
  <c r="T66" i="6"/>
  <c r="T67" i="6"/>
  <c r="T68" i="6"/>
  <c r="T69" i="6"/>
  <c r="W69" i="6" s="1"/>
  <c r="Y69" i="6" s="1"/>
  <c r="T70" i="6"/>
  <c r="T71" i="6"/>
  <c r="T72" i="6"/>
  <c r="T73" i="6"/>
  <c r="W73" i="6" s="1"/>
  <c r="Y73" i="6" s="1"/>
  <c r="T74" i="6"/>
  <c r="T75" i="6"/>
  <c r="T76" i="6"/>
  <c r="T77" i="6"/>
  <c r="W77" i="6" s="1"/>
  <c r="Y77" i="6" s="1"/>
  <c r="T78" i="6"/>
  <c r="T79" i="6"/>
  <c r="T80" i="6"/>
  <c r="T81" i="6"/>
  <c r="W81" i="6" s="1"/>
  <c r="Y81" i="6" s="1"/>
  <c r="T82" i="6"/>
  <c r="T83" i="6"/>
  <c r="T84" i="6"/>
  <c r="T85" i="6"/>
  <c r="W85" i="6" s="1"/>
  <c r="Y85" i="6" s="1"/>
  <c r="T86" i="6"/>
  <c r="T87" i="6"/>
  <c r="T88" i="6"/>
  <c r="T89" i="6"/>
  <c r="T90" i="6"/>
  <c r="T91" i="6"/>
  <c r="T92" i="6"/>
  <c r="T93" i="6"/>
  <c r="W93" i="6" s="1"/>
  <c r="Y93" i="6" s="1"/>
  <c r="T94" i="6"/>
  <c r="T95" i="6"/>
  <c r="T96" i="6"/>
  <c r="T97" i="6"/>
  <c r="W97" i="6" s="1"/>
  <c r="Y97" i="6" s="1"/>
  <c r="T98" i="6"/>
  <c r="T99" i="6"/>
  <c r="T100" i="6"/>
  <c r="T101" i="6"/>
  <c r="W101" i="6" s="1"/>
  <c r="Y101" i="6" s="1"/>
  <c r="T102" i="6"/>
  <c r="T103" i="6"/>
  <c r="T104" i="6"/>
  <c r="T105" i="6"/>
  <c r="T106" i="6"/>
  <c r="T107" i="6"/>
  <c r="T108" i="6"/>
  <c r="T109" i="6"/>
  <c r="T110" i="6"/>
  <c r="T111" i="6"/>
  <c r="T112" i="6"/>
  <c r="T113" i="6"/>
  <c r="W113" i="6" s="1"/>
  <c r="Y113" i="6" s="1"/>
  <c r="T114" i="6"/>
  <c r="T115" i="6"/>
  <c r="T116" i="6"/>
  <c r="T117" i="6"/>
  <c r="W117" i="6" s="1"/>
  <c r="Y117" i="6" s="1"/>
  <c r="T118" i="6"/>
  <c r="T119" i="6"/>
  <c r="T120" i="6"/>
  <c r="T121" i="6"/>
  <c r="W121" i="6" s="1"/>
  <c r="Y121" i="6" s="1"/>
  <c r="T122" i="6"/>
  <c r="T123" i="6"/>
  <c r="T124" i="6"/>
  <c r="T125" i="6"/>
  <c r="W125" i="6" s="1"/>
  <c r="Y125" i="6" s="1"/>
  <c r="T126" i="6"/>
  <c r="T127" i="6"/>
  <c r="T128" i="6"/>
  <c r="T129" i="6"/>
  <c r="T130" i="6"/>
  <c r="T131" i="6"/>
  <c r="T132" i="6"/>
  <c r="T133" i="6"/>
  <c r="W133" i="6" s="1"/>
  <c r="Y133" i="6" s="1"/>
  <c r="T134" i="6"/>
  <c r="T135" i="6"/>
  <c r="T136" i="6"/>
  <c r="T137" i="6"/>
  <c r="W137" i="6" s="1"/>
  <c r="Y137" i="6" s="1"/>
  <c r="T138" i="6"/>
  <c r="T139" i="6"/>
  <c r="T140" i="6"/>
  <c r="T141" i="6"/>
  <c r="W141" i="6" s="1"/>
  <c r="Y141" i="6" s="1"/>
  <c r="T142" i="6"/>
  <c r="T143" i="6"/>
  <c r="T144" i="6"/>
  <c r="T145" i="6"/>
  <c r="T146" i="6"/>
  <c r="T147" i="6"/>
  <c r="T148" i="6"/>
  <c r="T149" i="6"/>
  <c r="W149" i="6" s="1"/>
  <c r="Y149" i="6" s="1"/>
  <c r="T150" i="6"/>
  <c r="T151" i="6"/>
  <c r="T152" i="6"/>
  <c r="T153" i="6"/>
  <c r="W153" i="6" s="1"/>
  <c r="Y153" i="6" s="1"/>
  <c r="T154" i="6"/>
  <c r="T155" i="6"/>
  <c r="T156" i="6"/>
  <c r="T157" i="6"/>
  <c r="W157" i="6" s="1"/>
  <c r="Y157" i="6" s="1"/>
  <c r="T158" i="6"/>
  <c r="T159" i="6"/>
  <c r="T160" i="6"/>
  <c r="T161" i="6"/>
  <c r="W161" i="6" s="1"/>
  <c r="Y161" i="6" s="1"/>
  <c r="T162" i="6"/>
  <c r="T163" i="6"/>
  <c r="T164" i="6"/>
  <c r="T165" i="6"/>
  <c r="W165" i="6" s="1"/>
  <c r="Y165" i="6" s="1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W185" i="6" s="1"/>
  <c r="Y185" i="6" s="1"/>
  <c r="T186" i="6"/>
  <c r="T187" i="6"/>
  <c r="T188" i="6"/>
  <c r="T189" i="6"/>
  <c r="T190" i="6"/>
  <c r="T191" i="6"/>
  <c r="T5" i="6"/>
  <c r="W6" i="6"/>
  <c r="Y6" i="6" s="1"/>
  <c r="W7" i="6"/>
  <c r="Y7" i="6" s="1"/>
  <c r="W14" i="6"/>
  <c r="Y14" i="6" s="1"/>
  <c r="W15" i="6"/>
  <c r="Y15" i="6" s="1"/>
  <c r="W22" i="6"/>
  <c r="Y22" i="6" s="1"/>
  <c r="W25" i="6"/>
  <c r="Y25" i="6" s="1"/>
  <c r="W30" i="6"/>
  <c r="Y30" i="6" s="1"/>
  <c r="W37" i="6"/>
  <c r="Y37" i="6" s="1"/>
  <c r="W38" i="6"/>
  <c r="Y38" i="6" s="1"/>
  <c r="W46" i="6"/>
  <c r="Y46" i="6" s="1"/>
  <c r="W47" i="6"/>
  <c r="Y47" i="6" s="1"/>
  <c r="W54" i="6"/>
  <c r="Y54" i="6" s="1"/>
  <c r="W55" i="6"/>
  <c r="Y55" i="6" s="1"/>
  <c r="W62" i="6"/>
  <c r="Y62" i="6" s="1"/>
  <c r="W65" i="6"/>
  <c r="Y65" i="6" s="1"/>
  <c r="W70" i="6"/>
  <c r="Y70" i="6" s="1"/>
  <c r="W78" i="6"/>
  <c r="Y78" i="6" s="1"/>
  <c r="W86" i="6"/>
  <c r="Y86" i="6" s="1"/>
  <c r="W87" i="6"/>
  <c r="Y87" i="6" s="1"/>
  <c r="W89" i="6"/>
  <c r="Y89" i="6" s="1"/>
  <c r="W94" i="6"/>
  <c r="Y94" i="6" s="1"/>
  <c r="W95" i="6"/>
  <c r="Y95" i="6" s="1"/>
  <c r="W102" i="6"/>
  <c r="Y102" i="6" s="1"/>
  <c r="W105" i="6"/>
  <c r="Y105" i="6" s="1"/>
  <c r="W110" i="6"/>
  <c r="Y110" i="6" s="1"/>
  <c r="W118" i="6"/>
  <c r="Y118" i="6" s="1"/>
  <c r="W126" i="6"/>
  <c r="Y126" i="6" s="1"/>
  <c r="W127" i="6"/>
  <c r="Y127" i="6" s="1"/>
  <c r="W129" i="6"/>
  <c r="Y129" i="6" s="1"/>
  <c r="W134" i="6"/>
  <c r="Y134" i="6" s="1"/>
  <c r="W135" i="6"/>
  <c r="Y135" i="6" s="1"/>
  <c r="W142" i="6"/>
  <c r="Y142" i="6" s="1"/>
  <c r="W145" i="6"/>
  <c r="Y145" i="6" s="1"/>
  <c r="W150" i="6"/>
  <c r="Y150" i="6" s="1"/>
  <c r="W158" i="6"/>
  <c r="Y158" i="6" s="1"/>
  <c r="W166" i="6"/>
  <c r="Y166" i="6" s="1"/>
  <c r="W167" i="6"/>
  <c r="Y167" i="6" s="1"/>
  <c r="W169" i="6"/>
  <c r="Y169" i="6" s="1"/>
  <c r="W174" i="6"/>
  <c r="Y174" i="6" s="1"/>
  <c r="W177" i="6"/>
  <c r="Y177" i="6" s="1"/>
  <c r="W182" i="6"/>
  <c r="Y182" i="6" s="1"/>
  <c r="W190" i="6"/>
  <c r="Y190" i="6" s="1"/>
  <c r="W191" i="6"/>
  <c r="Y191" i="6" s="1"/>
  <c r="W92" i="6" l="1"/>
  <c r="Y92" i="6" s="1"/>
  <c r="W76" i="6"/>
  <c r="Y76" i="6" s="1"/>
  <c r="W60" i="6"/>
  <c r="Y60" i="6" s="1"/>
  <c r="W44" i="6"/>
  <c r="Y44" i="6" s="1"/>
  <c r="W188" i="6"/>
  <c r="Y188" i="6" s="1"/>
  <c r="W180" i="6"/>
  <c r="Y180" i="6" s="1"/>
  <c r="W172" i="6"/>
  <c r="Y172" i="6" s="1"/>
  <c r="W164" i="6"/>
  <c r="Y164" i="6" s="1"/>
  <c r="W156" i="6"/>
  <c r="Y156" i="6" s="1"/>
  <c r="W148" i="6"/>
  <c r="Y148" i="6" s="1"/>
  <c r="W140" i="6"/>
  <c r="Y140" i="6" s="1"/>
  <c r="W132" i="6"/>
  <c r="Y132" i="6" s="1"/>
  <c r="W124" i="6"/>
  <c r="Y124" i="6" s="1"/>
  <c r="W116" i="6"/>
  <c r="Y116" i="6" s="1"/>
  <c r="W108" i="6"/>
  <c r="Y108" i="6" s="1"/>
  <c r="W100" i="6"/>
  <c r="Y100" i="6" s="1"/>
  <c r="W84" i="6"/>
  <c r="Y84" i="6" s="1"/>
  <c r="W68" i="6"/>
  <c r="Y68" i="6" s="1"/>
  <c r="W52" i="6"/>
  <c r="Y52" i="6" s="1"/>
  <c r="W36" i="6"/>
  <c r="Y36" i="6" s="1"/>
  <c r="W28" i="6"/>
  <c r="Y28" i="6" s="1"/>
  <c r="W20" i="6"/>
  <c r="Y20" i="6" s="1"/>
  <c r="W12" i="6"/>
  <c r="Y12" i="6" s="1"/>
  <c r="W187" i="6"/>
  <c r="Y187" i="6" s="1"/>
  <c r="W171" i="6"/>
  <c r="Y171" i="6" s="1"/>
  <c r="W155" i="6"/>
  <c r="Y155" i="6" s="1"/>
  <c r="W139" i="6"/>
  <c r="Y139" i="6" s="1"/>
  <c r="W123" i="6"/>
  <c r="Y123" i="6" s="1"/>
  <c r="W107" i="6"/>
  <c r="Y107" i="6" s="1"/>
  <c r="W99" i="6"/>
  <c r="Y99" i="6" s="1"/>
  <c r="W83" i="6"/>
  <c r="Y83" i="6" s="1"/>
  <c r="W75" i="6"/>
  <c r="Y75" i="6" s="1"/>
  <c r="W67" i="6"/>
  <c r="Y67" i="6" s="1"/>
  <c r="W59" i="6"/>
  <c r="Y59" i="6" s="1"/>
  <c r="W51" i="6"/>
  <c r="Y51" i="6" s="1"/>
  <c r="W43" i="6"/>
  <c r="Y43" i="6" s="1"/>
  <c r="W35" i="6"/>
  <c r="Y35" i="6" s="1"/>
  <c r="W27" i="6"/>
  <c r="Y27" i="6" s="1"/>
  <c r="W19" i="6"/>
  <c r="Y19" i="6" s="1"/>
  <c r="W11" i="6"/>
  <c r="Y11" i="6" s="1"/>
  <c r="W179" i="6"/>
  <c r="Y179" i="6" s="1"/>
  <c r="W163" i="6"/>
  <c r="Y163" i="6" s="1"/>
  <c r="W147" i="6"/>
  <c r="Y147" i="6" s="1"/>
  <c r="W131" i="6"/>
  <c r="Y131" i="6" s="1"/>
  <c r="W115" i="6"/>
  <c r="Y115" i="6" s="1"/>
  <c r="W91" i="6"/>
  <c r="Y91" i="6" s="1"/>
  <c r="W5" i="6"/>
  <c r="Y5" i="6" s="1"/>
  <c r="W184" i="6"/>
  <c r="Y184" i="6" s="1"/>
  <c r="W176" i="6"/>
  <c r="Y176" i="6" s="1"/>
  <c r="W168" i="6"/>
  <c r="Y168" i="6" s="1"/>
  <c r="W160" i="6"/>
  <c r="Y160" i="6" s="1"/>
  <c r="W152" i="6"/>
  <c r="Y152" i="6" s="1"/>
  <c r="W144" i="6"/>
  <c r="Y144" i="6" s="1"/>
  <c r="W136" i="6"/>
  <c r="Y136" i="6" s="1"/>
  <c r="W128" i="6"/>
  <c r="Y128" i="6" s="1"/>
  <c r="W120" i="6"/>
  <c r="Y120" i="6" s="1"/>
  <c r="W112" i="6"/>
  <c r="Y112" i="6" s="1"/>
  <c r="W104" i="6"/>
  <c r="Y104" i="6" s="1"/>
  <c r="W96" i="6"/>
  <c r="Y96" i="6" s="1"/>
  <c r="W88" i="6"/>
  <c r="Y88" i="6" s="1"/>
  <c r="W80" i="6"/>
  <c r="Y80" i="6" s="1"/>
  <c r="W72" i="6"/>
  <c r="Y72" i="6" s="1"/>
  <c r="W64" i="6"/>
  <c r="Y64" i="6" s="1"/>
  <c r="W56" i="6"/>
  <c r="Y56" i="6" s="1"/>
  <c r="W48" i="6"/>
  <c r="Y48" i="6" s="1"/>
  <c r="W40" i="6"/>
  <c r="Y40" i="6" s="1"/>
  <c r="W32" i="6"/>
  <c r="Y32" i="6" s="1"/>
  <c r="W24" i="6"/>
  <c r="Y24" i="6" s="1"/>
  <c r="W16" i="6"/>
  <c r="Y16" i="6" s="1"/>
  <c r="W8" i="6"/>
  <c r="Y8" i="6" s="1"/>
  <c r="W173" i="6"/>
  <c r="Y173" i="6" s="1"/>
  <c r="W109" i="6"/>
  <c r="Y109" i="6" s="1"/>
  <c r="W45" i="6"/>
  <c r="Y45" i="6" s="1"/>
  <c r="W189" i="6"/>
  <c r="Y189" i="6" s="1"/>
  <c r="W181" i="6"/>
  <c r="Y181" i="6" s="1"/>
  <c r="W186" i="6"/>
  <c r="Y186" i="6" s="1"/>
  <c r="W178" i="6"/>
  <c r="Y178" i="6" s="1"/>
  <c r="W170" i="6"/>
  <c r="Y170" i="6" s="1"/>
  <c r="W162" i="6"/>
  <c r="Y162" i="6" s="1"/>
  <c r="W154" i="6"/>
  <c r="Y154" i="6" s="1"/>
  <c r="W146" i="6"/>
  <c r="Y146" i="6" s="1"/>
  <c r="W138" i="6"/>
  <c r="Y138" i="6" s="1"/>
  <c r="W130" i="6"/>
  <c r="Y130" i="6" s="1"/>
  <c r="W122" i="6"/>
  <c r="Y122" i="6" s="1"/>
  <c r="W114" i="6"/>
  <c r="Y114" i="6" s="1"/>
  <c r="W106" i="6"/>
  <c r="Y106" i="6" s="1"/>
  <c r="W98" i="6"/>
  <c r="Y98" i="6" s="1"/>
  <c r="W90" i="6"/>
  <c r="Y90" i="6" s="1"/>
  <c r="W82" i="6"/>
  <c r="Y82" i="6" s="1"/>
  <c r="W74" i="6"/>
  <c r="Y74" i="6" s="1"/>
  <c r="W66" i="6"/>
  <c r="Y66" i="6" s="1"/>
  <c r="W58" i="6"/>
  <c r="Y58" i="6" s="1"/>
  <c r="W50" i="6"/>
  <c r="Y50" i="6" s="1"/>
  <c r="W42" i="6"/>
  <c r="Y42" i="6" s="1"/>
  <c r="W34" i="6"/>
  <c r="Y34" i="6" s="1"/>
  <c r="W26" i="6"/>
  <c r="Y26" i="6" s="1"/>
  <c r="W18" i="6"/>
  <c r="Y18" i="6" s="1"/>
  <c r="W10" i="6"/>
  <c r="Y10" i="6" s="1"/>
  <c r="AE22" i="6" l="1"/>
  <c r="AY17" i="6"/>
  <c r="AF22" i="6" s="1"/>
  <c r="AN17" i="6"/>
  <c r="AL17" i="6"/>
  <c r="AJ17" i="6"/>
</calcChain>
</file>

<file path=xl/sharedStrings.xml><?xml version="1.0" encoding="utf-8"?>
<sst xmlns="http://schemas.openxmlformats.org/spreadsheetml/2006/main" count="125" uniqueCount="55">
  <si>
    <t>PV</t>
  </si>
  <si>
    <t>HP</t>
  </si>
  <si>
    <t>PV_C</t>
  </si>
  <si>
    <t>Import</t>
  </si>
  <si>
    <t>Export</t>
  </si>
  <si>
    <t>OilBoilerHeat</t>
  </si>
  <si>
    <t>OilBoilerFuel</t>
  </si>
  <si>
    <t>BiomassBoilerFuel</t>
  </si>
  <si>
    <t>AdditionalCost</t>
  </si>
  <si>
    <t>InvestmentCost</t>
  </si>
  <si>
    <t>CO2Emission</t>
  </si>
  <si>
    <t>(KW)</t>
  </si>
  <si>
    <t>(GWh)</t>
  </si>
  <si>
    <t>(KEuro)</t>
  </si>
  <si>
    <t>(Mt)</t>
  </si>
  <si>
    <t>NgasBoilerFuel</t>
  </si>
  <si>
    <t>BiomassBoilerHeat</t>
  </si>
  <si>
    <t>(Keuro)</t>
  </si>
  <si>
    <t>HP_Heat_P</t>
  </si>
  <si>
    <t>TotalVariableCost</t>
  </si>
  <si>
    <t>FixedOperationalCost</t>
  </si>
  <si>
    <t>AnnualCost</t>
  </si>
  <si>
    <t>Future Scenarios</t>
  </si>
  <si>
    <t>Annual</t>
  </si>
  <si>
    <t>PV_P</t>
  </si>
  <si>
    <t>OilCost</t>
  </si>
  <si>
    <t>LPGCost</t>
  </si>
  <si>
    <t>BiomassCost</t>
  </si>
  <si>
    <t>TotalCost</t>
  </si>
  <si>
    <t>Current Scenario</t>
  </si>
  <si>
    <t>ElecExchage</t>
  </si>
  <si>
    <t>TotalCost gain %</t>
  </si>
  <si>
    <t>emission gain %</t>
  </si>
  <si>
    <t>LPG BoilerHeat</t>
  </si>
  <si>
    <t>PV Investment</t>
  </si>
  <si>
    <t>HP investment</t>
  </si>
  <si>
    <t>PV Lifetime</t>
  </si>
  <si>
    <t>HP lifetime</t>
  </si>
  <si>
    <t>Interest</t>
  </si>
  <si>
    <t>GeoBoreHole Inv</t>
  </si>
  <si>
    <t>BoreHole Life</t>
  </si>
  <si>
    <t>Total Investment</t>
  </si>
  <si>
    <t>BoreHole</t>
  </si>
  <si>
    <t>PV Inv</t>
  </si>
  <si>
    <t>Parameters</t>
  </si>
  <si>
    <t>(year)</t>
  </si>
  <si>
    <t>%</t>
  </si>
  <si>
    <t>HP Inv</t>
  </si>
  <si>
    <t>BoreHole Inv</t>
  </si>
  <si>
    <t>VariableCost</t>
  </si>
  <si>
    <t>(Keuro/KWe)</t>
  </si>
  <si>
    <t>el prod</t>
  </si>
  <si>
    <t>th cons (H)</t>
  </si>
  <si>
    <t>Proposed Scenario</t>
  </si>
  <si>
    <t>el cons with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</si>
</sst>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DCFFD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/>
    <xf numFmtId="0" fontId="0" fillId="0" borderId="1" xfId="0" applyBorder="1" applyAlignment="1"/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12" borderId="0" xfId="0" applyFill="1"/>
    <xf numFmtId="0" fontId="0" fillId="3" borderId="1" xfId="0" applyFill="1" applyBorder="1"/>
    <xf numFmtId="2" fontId="0" fillId="13" borderId="0" xfId="0" applyNumberFormat="1" applyFill="1"/>
    <xf numFmtId="0" fontId="0" fillId="13" borderId="0" xfId="0" applyFill="1"/>
    <xf numFmtId="0" fontId="0" fillId="7" borderId="0" xfId="0" applyFill="1"/>
    <xf numFmtId="2" fontId="0" fillId="7" borderId="0" xfId="0" applyNumberFormat="1" applyFill="1"/>
    <xf numFmtId="0" fontId="0" fillId="0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CF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Sheet6!$X$5:$X$191</c:f>
              <c:numCache>
                <c:formatCode>0.00</c:formatCode>
                <c:ptCount val="187"/>
                <c:pt idx="0">
                  <c:v>-12.198</c:v>
                </c:pt>
                <c:pt idx="1">
                  <c:v>-12.198</c:v>
                </c:pt>
                <c:pt idx="2">
                  <c:v>-12.116</c:v>
                </c:pt>
                <c:pt idx="3">
                  <c:v>-11.943</c:v>
                </c:pt>
                <c:pt idx="4">
                  <c:v>-11.928000000000001</c:v>
                </c:pt>
                <c:pt idx="5">
                  <c:v>-11.928000000000001</c:v>
                </c:pt>
                <c:pt idx="6">
                  <c:v>-11.877000000000001</c:v>
                </c:pt>
                <c:pt idx="7">
                  <c:v>-11.78</c:v>
                </c:pt>
                <c:pt idx="8">
                  <c:v>-11.771000000000001</c:v>
                </c:pt>
                <c:pt idx="9">
                  <c:v>-11.766999999999999</c:v>
                </c:pt>
                <c:pt idx="10">
                  <c:v>-11.753</c:v>
                </c:pt>
                <c:pt idx="11">
                  <c:v>-11.717000000000001</c:v>
                </c:pt>
                <c:pt idx="12">
                  <c:v>-11.646000000000001</c:v>
                </c:pt>
                <c:pt idx="13">
                  <c:v>-11.64</c:v>
                </c:pt>
                <c:pt idx="14">
                  <c:v>-11.521000000000001</c:v>
                </c:pt>
                <c:pt idx="15">
                  <c:v>-11.496</c:v>
                </c:pt>
                <c:pt idx="16">
                  <c:v>-11.496</c:v>
                </c:pt>
                <c:pt idx="17">
                  <c:v>-11.446999999999999</c:v>
                </c:pt>
                <c:pt idx="18">
                  <c:v>-11.411</c:v>
                </c:pt>
                <c:pt idx="19">
                  <c:v>-11.394</c:v>
                </c:pt>
                <c:pt idx="20">
                  <c:v>-11.349</c:v>
                </c:pt>
                <c:pt idx="21">
                  <c:v>-11.297000000000001</c:v>
                </c:pt>
                <c:pt idx="22">
                  <c:v>-11.211</c:v>
                </c:pt>
                <c:pt idx="23">
                  <c:v>-11.19</c:v>
                </c:pt>
                <c:pt idx="24">
                  <c:v>-11.122</c:v>
                </c:pt>
                <c:pt idx="25">
                  <c:v>-11.063000000000001</c:v>
                </c:pt>
                <c:pt idx="26">
                  <c:v>-11.042999999999999</c:v>
                </c:pt>
                <c:pt idx="27">
                  <c:v>-11.013999999999999</c:v>
                </c:pt>
                <c:pt idx="28">
                  <c:v>-10.938000000000001</c:v>
                </c:pt>
                <c:pt idx="29">
                  <c:v>-10.856999999999999</c:v>
                </c:pt>
                <c:pt idx="30">
                  <c:v>-10.803000000000001</c:v>
                </c:pt>
                <c:pt idx="31">
                  <c:v>-10.757</c:v>
                </c:pt>
                <c:pt idx="32">
                  <c:v>-10.685</c:v>
                </c:pt>
                <c:pt idx="33">
                  <c:v>-10.629</c:v>
                </c:pt>
                <c:pt idx="34">
                  <c:v>-10.602</c:v>
                </c:pt>
                <c:pt idx="35">
                  <c:v>-10.58</c:v>
                </c:pt>
                <c:pt idx="36">
                  <c:v>-10.5</c:v>
                </c:pt>
                <c:pt idx="37">
                  <c:v>-10.494999999999999</c:v>
                </c:pt>
                <c:pt idx="38">
                  <c:v>-10.411</c:v>
                </c:pt>
                <c:pt idx="39">
                  <c:v>-10.407</c:v>
                </c:pt>
                <c:pt idx="40">
                  <c:v>-10.393000000000001</c:v>
                </c:pt>
                <c:pt idx="41">
                  <c:v>-10.334</c:v>
                </c:pt>
                <c:pt idx="42">
                  <c:v>-10.334</c:v>
                </c:pt>
                <c:pt idx="43">
                  <c:v>-10.257</c:v>
                </c:pt>
                <c:pt idx="44">
                  <c:v>-10.185</c:v>
                </c:pt>
                <c:pt idx="45">
                  <c:v>-10.175000000000001</c:v>
                </c:pt>
                <c:pt idx="46">
                  <c:v>-10.175000000000001</c:v>
                </c:pt>
                <c:pt idx="47">
                  <c:v>-10.153</c:v>
                </c:pt>
                <c:pt idx="48">
                  <c:v>-10.082000000000001</c:v>
                </c:pt>
                <c:pt idx="49">
                  <c:v>-10.063000000000001</c:v>
                </c:pt>
                <c:pt idx="50">
                  <c:v>-9.9749999999999996</c:v>
                </c:pt>
                <c:pt idx="51">
                  <c:v>-9.9320000000000004</c:v>
                </c:pt>
                <c:pt idx="52">
                  <c:v>-9.8819999999999997</c:v>
                </c:pt>
                <c:pt idx="53">
                  <c:v>-9.8130000000000006</c:v>
                </c:pt>
                <c:pt idx="54">
                  <c:v>-9.7829999999999995</c:v>
                </c:pt>
                <c:pt idx="55">
                  <c:v>-9.7409999999999997</c:v>
                </c:pt>
                <c:pt idx="56">
                  <c:v>-9.7349999999999994</c:v>
                </c:pt>
                <c:pt idx="57">
                  <c:v>-9.673</c:v>
                </c:pt>
                <c:pt idx="58">
                  <c:v>-9.6720000000000006</c:v>
                </c:pt>
                <c:pt idx="59">
                  <c:v>-9.6180000000000003</c:v>
                </c:pt>
                <c:pt idx="60">
                  <c:v>-9.5969999999999995</c:v>
                </c:pt>
                <c:pt idx="61">
                  <c:v>-9.548</c:v>
                </c:pt>
                <c:pt idx="62">
                  <c:v>-9.4930000000000003</c:v>
                </c:pt>
                <c:pt idx="63">
                  <c:v>-9.4600000000000009</c:v>
                </c:pt>
                <c:pt idx="64">
                  <c:v>-9.3629999999999995</c:v>
                </c:pt>
                <c:pt idx="65">
                  <c:v>-9.3279999999999994</c:v>
                </c:pt>
                <c:pt idx="66">
                  <c:v>-9.2799999999999994</c:v>
                </c:pt>
                <c:pt idx="67">
                  <c:v>-9.2680000000000007</c:v>
                </c:pt>
                <c:pt idx="68">
                  <c:v>-9.1809999999999992</c:v>
                </c:pt>
                <c:pt idx="69">
                  <c:v>-9.17</c:v>
                </c:pt>
                <c:pt idx="70">
                  <c:v>-9.0429999999999993</c:v>
                </c:pt>
                <c:pt idx="71">
                  <c:v>-9.0419999999999998</c:v>
                </c:pt>
                <c:pt idx="72">
                  <c:v>-8.9390000000000001</c:v>
                </c:pt>
                <c:pt idx="73">
                  <c:v>-8.9390000000000001</c:v>
                </c:pt>
                <c:pt idx="74">
                  <c:v>-8.8640000000000008</c:v>
                </c:pt>
                <c:pt idx="75">
                  <c:v>-8.8309999999999995</c:v>
                </c:pt>
                <c:pt idx="76">
                  <c:v>-8.7880000000000003</c:v>
                </c:pt>
                <c:pt idx="77">
                  <c:v>-8.7149999999999999</c:v>
                </c:pt>
                <c:pt idx="78">
                  <c:v>-8.6859999999999999</c:v>
                </c:pt>
                <c:pt idx="79">
                  <c:v>-8.6620000000000008</c:v>
                </c:pt>
                <c:pt idx="80">
                  <c:v>-8.5749999999999993</c:v>
                </c:pt>
                <c:pt idx="81">
                  <c:v>-8.5139999999999993</c:v>
                </c:pt>
                <c:pt idx="82">
                  <c:v>-8.5139999999999993</c:v>
                </c:pt>
                <c:pt idx="83">
                  <c:v>-8.4960000000000004</c:v>
                </c:pt>
                <c:pt idx="84">
                  <c:v>-8.4619999999999997</c:v>
                </c:pt>
                <c:pt idx="85">
                  <c:v>-8.4559999999999995</c:v>
                </c:pt>
                <c:pt idx="86">
                  <c:v>-8.391</c:v>
                </c:pt>
                <c:pt idx="87">
                  <c:v>-8.2739999999999991</c:v>
                </c:pt>
                <c:pt idx="88">
                  <c:v>-8.2739999999999991</c:v>
                </c:pt>
                <c:pt idx="89">
                  <c:v>-8.2509999999999994</c:v>
                </c:pt>
                <c:pt idx="90">
                  <c:v>-8.1329999999999991</c:v>
                </c:pt>
                <c:pt idx="91">
                  <c:v>-8.11</c:v>
                </c:pt>
                <c:pt idx="92">
                  <c:v>-8.0269999999999992</c:v>
                </c:pt>
                <c:pt idx="93">
                  <c:v>-7.976</c:v>
                </c:pt>
                <c:pt idx="94">
                  <c:v>-7.94</c:v>
                </c:pt>
                <c:pt idx="95">
                  <c:v>-7.8810000000000002</c:v>
                </c:pt>
                <c:pt idx="96">
                  <c:v>-7.8360000000000003</c:v>
                </c:pt>
                <c:pt idx="97">
                  <c:v>-7.8209999999999997</c:v>
                </c:pt>
                <c:pt idx="98">
                  <c:v>-7.7729999999999997</c:v>
                </c:pt>
                <c:pt idx="99">
                  <c:v>-7.6929999999999996</c:v>
                </c:pt>
                <c:pt idx="100">
                  <c:v>-7.6820000000000004</c:v>
                </c:pt>
                <c:pt idx="101">
                  <c:v>-7.6740000000000004</c:v>
                </c:pt>
                <c:pt idx="102">
                  <c:v>-7.63</c:v>
                </c:pt>
                <c:pt idx="103">
                  <c:v>-7.593</c:v>
                </c:pt>
                <c:pt idx="104">
                  <c:v>-7.4820000000000002</c:v>
                </c:pt>
                <c:pt idx="105">
                  <c:v>-7.4340000000000002</c:v>
                </c:pt>
                <c:pt idx="106">
                  <c:v>-7.359</c:v>
                </c:pt>
                <c:pt idx="107">
                  <c:v>-7.3360000000000003</c:v>
                </c:pt>
                <c:pt idx="108">
                  <c:v>-7.2439999999999998</c:v>
                </c:pt>
                <c:pt idx="109">
                  <c:v>-7.2169999999999996</c:v>
                </c:pt>
                <c:pt idx="110">
                  <c:v>-7.1550000000000002</c:v>
                </c:pt>
                <c:pt idx="111">
                  <c:v>-7.1109999999999998</c:v>
                </c:pt>
                <c:pt idx="112">
                  <c:v>-7.0839999999999996</c:v>
                </c:pt>
                <c:pt idx="113">
                  <c:v>-7.0789999999999997</c:v>
                </c:pt>
                <c:pt idx="114">
                  <c:v>-6.9850000000000003</c:v>
                </c:pt>
                <c:pt idx="115">
                  <c:v>-6.9640000000000004</c:v>
                </c:pt>
                <c:pt idx="116">
                  <c:v>-6.9059999999999997</c:v>
                </c:pt>
                <c:pt idx="117">
                  <c:v>-6.819</c:v>
                </c:pt>
                <c:pt idx="118">
                  <c:v>-6.7789999999999999</c:v>
                </c:pt>
                <c:pt idx="119">
                  <c:v>-6.7649999999999997</c:v>
                </c:pt>
                <c:pt idx="120">
                  <c:v>-6.6920000000000002</c:v>
                </c:pt>
                <c:pt idx="121">
                  <c:v>-6.681</c:v>
                </c:pt>
                <c:pt idx="122">
                  <c:v>-6.6070000000000002</c:v>
                </c:pt>
                <c:pt idx="123">
                  <c:v>-6.548</c:v>
                </c:pt>
                <c:pt idx="124">
                  <c:v>-6.5119999999999996</c:v>
                </c:pt>
                <c:pt idx="125">
                  <c:v>-6.4710000000000001</c:v>
                </c:pt>
                <c:pt idx="126">
                  <c:v>-6.4189999999999996</c:v>
                </c:pt>
                <c:pt idx="127">
                  <c:v>-6.3869999999999996</c:v>
                </c:pt>
                <c:pt idx="128">
                  <c:v>-6.2869999999999999</c:v>
                </c:pt>
                <c:pt idx="129">
                  <c:v>-6.266</c:v>
                </c:pt>
                <c:pt idx="130">
                  <c:v>-6.1989999999999998</c:v>
                </c:pt>
                <c:pt idx="131">
                  <c:v>-6.1769999999999996</c:v>
                </c:pt>
                <c:pt idx="132">
                  <c:v>-6.1769999999999996</c:v>
                </c:pt>
                <c:pt idx="133">
                  <c:v>-6.09</c:v>
                </c:pt>
                <c:pt idx="134">
                  <c:v>-6.0529999999999999</c:v>
                </c:pt>
                <c:pt idx="135">
                  <c:v>-5.9850000000000003</c:v>
                </c:pt>
                <c:pt idx="136">
                  <c:v>-5.9470000000000001</c:v>
                </c:pt>
                <c:pt idx="137">
                  <c:v>-5.8529999999999998</c:v>
                </c:pt>
                <c:pt idx="138">
                  <c:v>-5.8490000000000002</c:v>
                </c:pt>
                <c:pt idx="139">
                  <c:v>-5.7270000000000003</c:v>
                </c:pt>
                <c:pt idx="140">
                  <c:v>-5.7119999999999997</c:v>
                </c:pt>
                <c:pt idx="141">
                  <c:v>-5.6349999999999998</c:v>
                </c:pt>
                <c:pt idx="142">
                  <c:v>-5.6070000000000002</c:v>
                </c:pt>
                <c:pt idx="143">
                  <c:v>-5.5449999999999999</c:v>
                </c:pt>
                <c:pt idx="144">
                  <c:v>-5.4619999999999997</c:v>
                </c:pt>
                <c:pt idx="145">
                  <c:v>-5.3540000000000001</c:v>
                </c:pt>
                <c:pt idx="146">
                  <c:v>-5.3339999999999996</c:v>
                </c:pt>
                <c:pt idx="147">
                  <c:v>-5.2830000000000004</c:v>
                </c:pt>
                <c:pt idx="148">
                  <c:v>-5.24</c:v>
                </c:pt>
                <c:pt idx="149">
                  <c:v>-5.2069999999999999</c:v>
                </c:pt>
                <c:pt idx="150">
                  <c:v>-5.1849999999999996</c:v>
                </c:pt>
                <c:pt idx="151">
                  <c:v>-5.1079999999999997</c:v>
                </c:pt>
                <c:pt idx="152">
                  <c:v>-4.9589999999999996</c:v>
                </c:pt>
                <c:pt idx="153">
                  <c:v>-4.9109999999999996</c:v>
                </c:pt>
                <c:pt idx="154">
                  <c:v>-4.9009999999999998</c:v>
                </c:pt>
                <c:pt idx="155">
                  <c:v>-4.8259999999999996</c:v>
                </c:pt>
                <c:pt idx="156">
                  <c:v>-4.8079999999999998</c:v>
                </c:pt>
                <c:pt idx="157">
                  <c:v>-4.7320000000000002</c:v>
                </c:pt>
                <c:pt idx="158">
                  <c:v>-4.718</c:v>
                </c:pt>
                <c:pt idx="159">
                  <c:v>-4.665</c:v>
                </c:pt>
                <c:pt idx="160">
                  <c:v>-4.5979999999999999</c:v>
                </c:pt>
                <c:pt idx="161">
                  <c:v>-4.5540000000000003</c:v>
                </c:pt>
                <c:pt idx="162">
                  <c:v>-4.5540000000000003</c:v>
                </c:pt>
                <c:pt idx="163">
                  <c:v>-4.4260000000000002</c:v>
                </c:pt>
                <c:pt idx="164">
                  <c:v>-4.2809999999999997</c:v>
                </c:pt>
                <c:pt idx="165">
                  <c:v>-4.1849999999999996</c:v>
                </c:pt>
                <c:pt idx="166">
                  <c:v>-4.1849999999999996</c:v>
                </c:pt>
                <c:pt idx="167">
                  <c:v>-4.1420000000000003</c:v>
                </c:pt>
                <c:pt idx="168">
                  <c:v>-4.0179999999999998</c:v>
                </c:pt>
                <c:pt idx="169">
                  <c:v>-3.9580000000000002</c:v>
                </c:pt>
                <c:pt idx="170">
                  <c:v>-3.9289999999999998</c:v>
                </c:pt>
                <c:pt idx="171">
                  <c:v>-3.8149999999999999</c:v>
                </c:pt>
                <c:pt idx="172">
                  <c:v>-3.7730000000000001</c:v>
                </c:pt>
                <c:pt idx="173">
                  <c:v>-3.726</c:v>
                </c:pt>
                <c:pt idx="174">
                  <c:v>-3.6779999999999999</c:v>
                </c:pt>
                <c:pt idx="175">
                  <c:v>-3.649</c:v>
                </c:pt>
                <c:pt idx="176">
                  <c:v>-3.6</c:v>
                </c:pt>
                <c:pt idx="177">
                  <c:v>-3.4980000000000002</c:v>
                </c:pt>
                <c:pt idx="178">
                  <c:v>-3.4569999999999999</c:v>
                </c:pt>
                <c:pt idx="179">
                  <c:v>-3.3969999999999998</c:v>
                </c:pt>
                <c:pt idx="180">
                  <c:v>-3.2930000000000001</c:v>
                </c:pt>
                <c:pt idx="181">
                  <c:v>-3.2530000000000001</c:v>
                </c:pt>
                <c:pt idx="182">
                  <c:v>-3.1880000000000002</c:v>
                </c:pt>
                <c:pt idx="183">
                  <c:v>-3.1880000000000002</c:v>
                </c:pt>
                <c:pt idx="184">
                  <c:v>-3.1419999999999999</c:v>
                </c:pt>
                <c:pt idx="185">
                  <c:v>-3.032</c:v>
                </c:pt>
                <c:pt idx="186">
                  <c:v>-3.032</c:v>
                </c:pt>
              </c:numCache>
            </c:numRef>
          </c:xVal>
          <c:yVal>
            <c:numRef>
              <c:f>Sheet6!$Y$5:$Y$191</c:f>
              <c:numCache>
                <c:formatCode>0.00</c:formatCode>
                <c:ptCount val="187"/>
                <c:pt idx="0">
                  <c:v>6140.3400331764824</c:v>
                </c:pt>
                <c:pt idx="1">
                  <c:v>6140.3400331764824</c:v>
                </c:pt>
                <c:pt idx="2">
                  <c:v>6121.1245542154511</c:v>
                </c:pt>
                <c:pt idx="3">
                  <c:v>6081.4018400017094</c:v>
                </c:pt>
                <c:pt idx="4">
                  <c:v>6077.0223901945592</c:v>
                </c:pt>
                <c:pt idx="5">
                  <c:v>6077.0223901945592</c:v>
                </c:pt>
                <c:pt idx="6">
                  <c:v>6065.955378048393</c:v>
                </c:pt>
                <c:pt idx="7">
                  <c:v>6064.9263757708795</c:v>
                </c:pt>
                <c:pt idx="8">
                  <c:v>6041.3120745801316</c:v>
                </c:pt>
                <c:pt idx="9">
                  <c:v>6040.1625462565453</c:v>
                </c:pt>
                <c:pt idx="10">
                  <c:v>6035.9140664211245</c:v>
                </c:pt>
                <c:pt idx="11">
                  <c:v>6032.5502788336817</c:v>
                </c:pt>
                <c:pt idx="12">
                  <c:v>6014.1397929811337</c:v>
                </c:pt>
                <c:pt idx="13">
                  <c:v>6011.1718114410287</c:v>
                </c:pt>
                <c:pt idx="14">
                  <c:v>5983.0872233574992</c:v>
                </c:pt>
                <c:pt idx="15">
                  <c:v>5977.90673808274</c:v>
                </c:pt>
                <c:pt idx="16">
                  <c:v>5977.90673808274</c:v>
                </c:pt>
                <c:pt idx="17">
                  <c:v>5966.4799750842321</c:v>
                </c:pt>
                <c:pt idx="18">
                  <c:v>5959.0470523331787</c:v>
                </c:pt>
                <c:pt idx="19">
                  <c:v>5953.9655185702541</c:v>
                </c:pt>
                <c:pt idx="20">
                  <c:v>5943.1829623602753</c:v>
                </c:pt>
                <c:pt idx="21">
                  <c:v>5931.7376410099087</c:v>
                </c:pt>
                <c:pt idx="22">
                  <c:v>5911.2602221054203</c:v>
                </c:pt>
                <c:pt idx="23">
                  <c:v>5905.6581511702016</c:v>
                </c:pt>
                <c:pt idx="24">
                  <c:v>5891.2622660286379</c:v>
                </c:pt>
                <c:pt idx="25">
                  <c:v>5877.281806794992</c:v>
                </c:pt>
                <c:pt idx="26">
                  <c:v>5872.9343754477368</c:v>
                </c:pt>
                <c:pt idx="27">
                  <c:v>5866.2951878088015</c:v>
                </c:pt>
                <c:pt idx="28">
                  <c:v>5861.1146234398157</c:v>
                </c:pt>
                <c:pt idx="29">
                  <c:v>5830.0250162066914</c:v>
                </c:pt>
                <c:pt idx="30">
                  <c:v>5817.8157760924314</c:v>
                </c:pt>
                <c:pt idx="31">
                  <c:v>5807.287859470418</c:v>
                </c:pt>
                <c:pt idx="32">
                  <c:v>5790.4951067727961</c:v>
                </c:pt>
                <c:pt idx="33">
                  <c:v>5778.9115150952075</c:v>
                </c:pt>
                <c:pt idx="34">
                  <c:v>5772.0868230319184</c:v>
                </c:pt>
                <c:pt idx="35">
                  <c:v>5766.3537821249702</c:v>
                </c:pt>
                <c:pt idx="36">
                  <c:v>5748.5857475317498</c:v>
                </c:pt>
                <c:pt idx="37">
                  <c:v>5747.0073331922113</c:v>
                </c:pt>
                <c:pt idx="38">
                  <c:v>5735.8457737575518</c:v>
                </c:pt>
                <c:pt idx="39">
                  <c:v>5727.3258515115112</c:v>
                </c:pt>
                <c:pt idx="40">
                  <c:v>5724.0661136797244</c:v>
                </c:pt>
                <c:pt idx="41">
                  <c:v>5710.6567684301253</c:v>
                </c:pt>
                <c:pt idx="42">
                  <c:v>5710.6567684301253</c:v>
                </c:pt>
                <c:pt idx="43">
                  <c:v>5692.8381570251531</c:v>
                </c:pt>
                <c:pt idx="44">
                  <c:v>5676.740187927815</c:v>
                </c:pt>
                <c:pt idx="45">
                  <c:v>5675.2443688599215</c:v>
                </c:pt>
                <c:pt idx="46">
                  <c:v>5675.2443688599215</c:v>
                </c:pt>
                <c:pt idx="47">
                  <c:v>5671.3949586922299</c:v>
                </c:pt>
                <c:pt idx="48">
                  <c:v>5660.4858367338647</c:v>
                </c:pt>
                <c:pt idx="49">
                  <c:v>5649.3205670963443</c:v>
                </c:pt>
                <c:pt idx="50">
                  <c:v>5629.4535809912904</c:v>
                </c:pt>
                <c:pt idx="51">
                  <c:v>5618.7514179412883</c:v>
                </c:pt>
                <c:pt idx="52">
                  <c:v>5608.8772105749686</c:v>
                </c:pt>
                <c:pt idx="53">
                  <c:v>5593.2266858454404</c:v>
                </c:pt>
                <c:pt idx="54">
                  <c:v>5585.5183630428946</c:v>
                </c:pt>
                <c:pt idx="55">
                  <c:v>5576.9977467763738</c:v>
                </c:pt>
                <c:pt idx="56">
                  <c:v>5575.7751256483025</c:v>
                </c:pt>
                <c:pt idx="57">
                  <c:v>5560.9801708390114</c:v>
                </c:pt>
                <c:pt idx="58">
                  <c:v>5560.6018616348101</c:v>
                </c:pt>
                <c:pt idx="59">
                  <c:v>5549.2110747370689</c:v>
                </c:pt>
                <c:pt idx="60">
                  <c:v>5546.1801177858961</c:v>
                </c:pt>
                <c:pt idx="61">
                  <c:v>5533.3677452276952</c:v>
                </c:pt>
                <c:pt idx="62">
                  <c:v>5522.1585051134343</c:v>
                </c:pt>
                <c:pt idx="63">
                  <c:v>5516.9987803022032</c:v>
                </c:pt>
                <c:pt idx="64">
                  <c:v>5492.2728815622959</c:v>
                </c:pt>
                <c:pt idx="65">
                  <c:v>5484.8512168076086</c:v>
                </c:pt>
                <c:pt idx="66">
                  <c:v>5473.3047418337364</c:v>
                </c:pt>
                <c:pt idx="67">
                  <c:v>5471.5542831778794</c:v>
                </c:pt>
                <c:pt idx="68">
                  <c:v>5451.3820806731082</c:v>
                </c:pt>
                <c:pt idx="69">
                  <c:v>5448.7665496298523</c:v>
                </c:pt>
                <c:pt idx="70">
                  <c:v>5423.8955267896981</c:v>
                </c:pt>
                <c:pt idx="71">
                  <c:v>5420.3902052546437</c:v>
                </c:pt>
                <c:pt idx="72">
                  <c:v>5397.5726553583927</c:v>
                </c:pt>
                <c:pt idx="73">
                  <c:v>5397.5726553583927</c:v>
                </c:pt>
                <c:pt idx="74">
                  <c:v>5383.5140050764403</c:v>
                </c:pt>
                <c:pt idx="75">
                  <c:v>5373.8602167265199</c:v>
                </c:pt>
                <c:pt idx="76">
                  <c:v>5364.8303212840701</c:v>
                </c:pt>
                <c:pt idx="77">
                  <c:v>5350.0375685864483</c:v>
                </c:pt>
                <c:pt idx="78">
                  <c:v>5345.7108977027219</c:v>
                </c:pt>
                <c:pt idx="79">
                  <c:v>5337.094226056518</c:v>
                </c:pt>
                <c:pt idx="80">
                  <c:v>5320.1654051433452</c:v>
                </c:pt>
                <c:pt idx="81">
                  <c:v>5305.1158107460888</c:v>
                </c:pt>
                <c:pt idx="82">
                  <c:v>5305.1158107460888</c:v>
                </c:pt>
                <c:pt idx="83">
                  <c:v>5299.4013281909993</c:v>
                </c:pt>
                <c:pt idx="84">
                  <c:v>5291.5507774203597</c:v>
                </c:pt>
                <c:pt idx="85">
                  <c:v>5291.5827958802529</c:v>
                </c:pt>
                <c:pt idx="86">
                  <c:v>5278.2673038986668</c:v>
                </c:pt>
                <c:pt idx="87">
                  <c:v>5252.3755205949838</c:v>
                </c:pt>
                <c:pt idx="88">
                  <c:v>5252.3755205949838</c:v>
                </c:pt>
                <c:pt idx="89">
                  <c:v>5247.4496749081891</c:v>
                </c:pt>
                <c:pt idx="90">
                  <c:v>5221.7506963843534</c:v>
                </c:pt>
                <c:pt idx="91">
                  <c:v>5219.0755326446506</c:v>
                </c:pt>
                <c:pt idx="92">
                  <c:v>5198.231062532328</c:v>
                </c:pt>
                <c:pt idx="93">
                  <c:v>5185.9206687945625</c:v>
                </c:pt>
                <c:pt idx="94">
                  <c:v>5179.8042204395915</c:v>
                </c:pt>
                <c:pt idx="95">
                  <c:v>5166.4567099981105</c:v>
                </c:pt>
                <c:pt idx="96">
                  <c:v>5160.2300521349407</c:v>
                </c:pt>
                <c:pt idx="97">
                  <c:v>5153.0979415602633</c:v>
                </c:pt>
                <c:pt idx="98">
                  <c:v>5142.9876529578378</c:v>
                </c:pt>
                <c:pt idx="99">
                  <c:v>5125.9762367730182</c:v>
                </c:pt>
                <c:pt idx="100">
                  <c:v>5123.6659221294794</c:v>
                </c:pt>
                <c:pt idx="101">
                  <c:v>5122.5051358095279</c:v>
                </c:pt>
                <c:pt idx="102">
                  <c:v>5112.9772191875136</c:v>
                </c:pt>
                <c:pt idx="103">
                  <c:v>5104.0462752568974</c:v>
                </c:pt>
                <c:pt idx="104">
                  <c:v>5080.2534434650497</c:v>
                </c:pt>
                <c:pt idx="105">
                  <c:v>5071.0813200545053</c:v>
                </c:pt>
                <c:pt idx="106">
                  <c:v>5054.83382263358</c:v>
                </c:pt>
                <c:pt idx="107">
                  <c:v>5050.0389469185138</c:v>
                </c:pt>
                <c:pt idx="108">
                  <c:v>5031.0224324898736</c:v>
                </c:pt>
                <c:pt idx="109">
                  <c:v>5027.7801124069965</c:v>
                </c:pt>
                <c:pt idx="110">
                  <c:v>5018.0896539358282</c:v>
                </c:pt>
                <c:pt idx="111">
                  <c:v>5003.1182505868765</c:v>
                </c:pt>
                <c:pt idx="112">
                  <c:v>4997.3048165199525</c:v>
                </c:pt>
                <c:pt idx="113">
                  <c:v>4996.9079489638934</c:v>
                </c:pt>
                <c:pt idx="114">
                  <c:v>4976.5058249755602</c:v>
                </c:pt>
                <c:pt idx="115">
                  <c:v>4972.5254448361411</c:v>
                </c:pt>
                <c:pt idx="116">
                  <c:v>4959.4325739826236</c:v>
                </c:pt>
                <c:pt idx="117">
                  <c:v>4945.0636090571325</c:v>
                </c:pt>
                <c:pt idx="118">
                  <c:v>4933.3108691953785</c:v>
                </c:pt>
                <c:pt idx="119">
                  <c:v>4930.4912753759108</c:v>
                </c:pt>
                <c:pt idx="120">
                  <c:v>4916.1386666906074</c:v>
                </c:pt>
                <c:pt idx="121">
                  <c:v>4913.6428476227147</c:v>
                </c:pt>
                <c:pt idx="122">
                  <c:v>4898.7809597614823</c:v>
                </c:pt>
                <c:pt idx="123">
                  <c:v>4886.4334493200004</c:v>
                </c:pt>
                <c:pt idx="124">
                  <c:v>4879.0623613770658</c:v>
                </c:pt>
                <c:pt idx="125">
                  <c:v>4870.5530031069102</c:v>
                </c:pt>
                <c:pt idx="126">
                  <c:v>4859.362321344508</c:v>
                </c:pt>
                <c:pt idx="127">
                  <c:v>4855.7158333500802</c:v>
                </c:pt>
                <c:pt idx="128">
                  <c:v>4833.8364486457122</c:v>
                </c:pt>
                <c:pt idx="129">
                  <c:v>4829.7942336981741</c:v>
                </c:pt>
                <c:pt idx="130">
                  <c:v>4816.0312973487762</c:v>
                </c:pt>
                <c:pt idx="131">
                  <c:v>4811.1745868255921</c:v>
                </c:pt>
                <c:pt idx="132">
                  <c:v>4811.1745868255921</c:v>
                </c:pt>
                <c:pt idx="133">
                  <c:v>4794.1878887451749</c:v>
                </c:pt>
                <c:pt idx="134">
                  <c:v>4786.1332751983227</c:v>
                </c:pt>
                <c:pt idx="135">
                  <c:v>4771.9228944811139</c:v>
                </c:pt>
                <c:pt idx="136">
                  <c:v>4764.5518065381784</c:v>
                </c:pt>
                <c:pt idx="137">
                  <c:v>4745.0878477417273</c:v>
                </c:pt>
                <c:pt idx="138">
                  <c:v>4743.2547938142234</c:v>
                </c:pt>
                <c:pt idx="139">
                  <c:v>4720.660926554765</c:v>
                </c:pt>
                <c:pt idx="140">
                  <c:v>4718.1465491350145</c:v>
                </c:pt>
                <c:pt idx="141">
                  <c:v>4702.3897725381603</c:v>
                </c:pt>
                <c:pt idx="142">
                  <c:v>4698.9506900345641</c:v>
                </c:pt>
                <c:pt idx="143">
                  <c:v>4684.3299816532599</c:v>
                </c:pt>
                <c:pt idx="144">
                  <c:v>4668.2381723084645</c:v>
                </c:pt>
                <c:pt idx="145">
                  <c:v>4647.1474244723922</c:v>
                </c:pt>
                <c:pt idx="146">
                  <c:v>4644.2980143047007</c:v>
                </c:pt>
                <c:pt idx="147">
                  <c:v>4632.7948157870887</c:v>
                </c:pt>
                <c:pt idx="148">
                  <c:v>4622.7761783410042</c:v>
                </c:pt>
                <c:pt idx="149">
                  <c:v>4616.8637927622458</c:v>
                </c:pt>
                <c:pt idx="150">
                  <c:v>4616.5781962231085</c:v>
                </c:pt>
                <c:pt idx="151">
                  <c:v>4598.3812756139359</c:v>
                </c:pt>
                <c:pt idx="152">
                  <c:v>4569.4028603035067</c:v>
                </c:pt>
                <c:pt idx="153">
                  <c:v>4559.4162413173171</c:v>
                </c:pt>
                <c:pt idx="154">
                  <c:v>4558.1750618373881</c:v>
                </c:pt>
                <c:pt idx="155">
                  <c:v>4543.1822040044281</c:v>
                </c:pt>
                <c:pt idx="156">
                  <c:v>4539.6605262291841</c:v>
                </c:pt>
                <c:pt idx="157">
                  <c:v>4525.8492151797045</c:v>
                </c:pt>
                <c:pt idx="158">
                  <c:v>4522.1532909764728</c:v>
                </c:pt>
                <c:pt idx="159">
                  <c:v>4512.2099484465425</c:v>
                </c:pt>
                <c:pt idx="160">
                  <c:v>4498.9450332767074</c:v>
                </c:pt>
                <c:pt idx="161">
                  <c:v>4490.4171166546939</c:v>
                </c:pt>
                <c:pt idx="162">
                  <c:v>4490.4171166546939</c:v>
                </c:pt>
                <c:pt idx="163">
                  <c:v>4466.0407722794844</c:v>
                </c:pt>
                <c:pt idx="164">
                  <c:v>4439.6520293049607</c:v>
                </c:pt>
                <c:pt idx="165">
                  <c:v>4419.3623169364973</c:v>
                </c:pt>
                <c:pt idx="166">
                  <c:v>4419.3623169364973</c:v>
                </c:pt>
                <c:pt idx="167">
                  <c:v>4413.4746494621413</c:v>
                </c:pt>
                <c:pt idx="168">
                  <c:v>4388.2911098667782</c:v>
                </c:pt>
                <c:pt idx="169">
                  <c:v>4375.2488158250135</c:v>
                </c:pt>
                <c:pt idx="170">
                  <c:v>4371.169484173759</c:v>
                </c:pt>
                <c:pt idx="171">
                  <c:v>4347.7364032342539</c:v>
                </c:pt>
                <c:pt idx="172">
                  <c:v>4340.2776217758501</c:v>
                </c:pt>
                <c:pt idx="173">
                  <c:v>4330.8621167737074</c:v>
                </c:pt>
                <c:pt idx="174">
                  <c:v>4323.3735189670797</c:v>
                </c:pt>
                <c:pt idx="175">
                  <c:v>4316.7343313281444</c:v>
                </c:pt>
                <c:pt idx="176">
                  <c:v>4307.6785771783434</c:v>
                </c:pt>
                <c:pt idx="177">
                  <c:v>4287.3703064580222</c:v>
                </c:pt>
                <c:pt idx="178">
                  <c:v>4280.2279993957018</c:v>
                </c:pt>
                <c:pt idx="179">
                  <c:v>4268.3785101337835</c:v>
                </c:pt>
                <c:pt idx="180">
                  <c:v>4251.0589814170971</c:v>
                </c:pt>
                <c:pt idx="181">
                  <c:v>4241.0516019673778</c:v>
                </c:pt>
                <c:pt idx="182">
                  <c:v>4230.6236983659201</c:v>
                </c:pt>
                <c:pt idx="183">
                  <c:v>4230.6236983659201</c:v>
                </c:pt>
                <c:pt idx="184">
                  <c:v>4220.0041305875648</c:v>
                </c:pt>
                <c:pt idx="185">
                  <c:v>4198.4659383836806</c:v>
                </c:pt>
                <c:pt idx="186">
                  <c:v>4198.4659383836806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Sheet6!$AX$17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Sheet6!$AY$17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732984"/>
        <c:axId val="427734552"/>
      </c:scatterChart>
      <c:valAx>
        <c:axId val="427732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7734552"/>
        <c:crosses val="autoZero"/>
        <c:crossBetween val="midCat"/>
      </c:valAx>
      <c:valAx>
        <c:axId val="427734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Total Cost [KEuro]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7732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371475</xdr:colOff>
      <xdr:row>19</xdr:row>
      <xdr:rowOff>4761</xdr:rowOff>
    </xdr:from>
    <xdr:to>
      <xdr:col>43</xdr:col>
      <xdr:colOff>552450</xdr:colOff>
      <xdr:row>36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91"/>
  <sheetViews>
    <sheetView tabSelected="1" topLeftCell="AE1" workbookViewId="0">
      <pane ySplit="4" topLeftCell="A5" activePane="bottomLeft" state="frozen"/>
      <selection pane="bottomLeft" activeCell="AN11" sqref="AN11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6.7109375" bestFit="1" customWidth="1"/>
    <col min="4" max="4" width="6.7109375" customWidth="1"/>
    <col min="5" max="5" width="7" bestFit="1" customWidth="1"/>
    <col min="6" max="6" width="6.7109375" bestFit="1" customWidth="1"/>
    <col min="7" max="7" width="13.140625" bestFit="1" customWidth="1"/>
    <col min="8" max="8" width="12.7109375" hidden="1" customWidth="1"/>
    <col min="9" max="9" width="14.85546875" bestFit="1" customWidth="1"/>
    <col min="10" max="10" width="14.5703125" hidden="1" customWidth="1"/>
    <col min="11" max="11" width="18" bestFit="1" customWidth="1"/>
    <col min="12" max="12" width="17.7109375" hidden="1" customWidth="1"/>
    <col min="13" max="13" width="7.5703125" bestFit="1" customWidth="1"/>
    <col min="14" max="14" width="8.140625" bestFit="1" customWidth="1"/>
    <col min="15" max="15" width="12.140625" bestFit="1" customWidth="1"/>
    <col min="16" max="16" width="11.7109375" bestFit="1" customWidth="1"/>
    <col min="17" max="17" width="12.28515625" bestFit="1" customWidth="1"/>
    <col min="18" max="18" width="20.5703125" bestFit="1" customWidth="1"/>
    <col min="19" max="19" width="14.28515625" bestFit="1" customWidth="1"/>
    <col min="20" max="20" width="14.28515625" customWidth="1"/>
    <col min="21" max="21" width="14.140625" bestFit="1" customWidth="1"/>
    <col min="22" max="22" width="16.140625" bestFit="1" customWidth="1"/>
    <col min="23" max="23" width="15.140625" bestFit="1" customWidth="1"/>
    <col min="24" max="24" width="12.42578125" bestFit="1" customWidth="1"/>
    <col min="25" max="25" width="12.42578125" customWidth="1"/>
    <col min="30" max="30" width="17.7109375" bestFit="1" customWidth="1"/>
    <col min="31" max="31" width="14.7109375" customWidth="1"/>
    <col min="32" max="32" width="15.5703125" bestFit="1" customWidth="1"/>
    <col min="33" max="33" width="11" bestFit="1" customWidth="1"/>
    <col min="34" max="34" width="13.140625" bestFit="1" customWidth="1"/>
    <col min="36" max="36" width="13.140625" bestFit="1" customWidth="1"/>
    <col min="37" max="37" width="12.7109375" hidden="1" customWidth="1"/>
    <col min="38" max="38" width="14.85546875" bestFit="1" customWidth="1"/>
    <col min="39" max="39" width="14.5703125" hidden="1" customWidth="1"/>
    <col min="40" max="40" width="18" bestFit="1" customWidth="1"/>
    <col min="41" max="41" width="17.7109375" hidden="1" customWidth="1"/>
    <col min="44" max="44" width="12.140625" bestFit="1" customWidth="1"/>
    <col min="45" max="45" width="12.140625" customWidth="1"/>
    <col min="46" max="46" width="16.85546875" bestFit="1" customWidth="1"/>
    <col min="47" max="47" width="20.5703125" bestFit="1" customWidth="1"/>
    <col min="48" max="48" width="14.28515625" bestFit="1" customWidth="1"/>
    <col min="49" max="49" width="15.140625" bestFit="1" customWidth="1"/>
    <col min="50" max="50" width="12.42578125" bestFit="1" customWidth="1"/>
    <col min="51" max="51" width="9.28515625" bestFit="1" customWidth="1"/>
  </cols>
  <sheetData>
    <row r="1" spans="1:51" s="3" customFormat="1" x14ac:dyDescent="0.25">
      <c r="A1" s="21" t="s">
        <v>22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F1" s="20" t="s">
        <v>44</v>
      </c>
      <c r="AG1" s="20"/>
      <c r="AH1" s="20"/>
      <c r="AI1" s="20"/>
      <c r="AJ1" s="20"/>
      <c r="AK1" s="20"/>
      <c r="AL1" s="20"/>
      <c r="AM1" s="20"/>
      <c r="AN1" s="20"/>
    </row>
    <row r="2" spans="1:51" s="3" customFormat="1" x14ac:dyDescent="0.25">
      <c r="A2" s="1"/>
      <c r="B2" s="18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9" t="s">
        <v>41</v>
      </c>
      <c r="AA2" s="19"/>
      <c r="AB2" s="19"/>
      <c r="AF2" s="15" t="s">
        <v>36</v>
      </c>
      <c r="AG2" s="15" t="s">
        <v>37</v>
      </c>
      <c r="AH2" s="15" t="s">
        <v>40</v>
      </c>
      <c r="AI2" s="15" t="s">
        <v>38</v>
      </c>
      <c r="AJ2" s="15" t="s">
        <v>43</v>
      </c>
      <c r="AK2" s="16"/>
      <c r="AL2" s="15" t="s">
        <v>47</v>
      </c>
      <c r="AM2" s="16"/>
      <c r="AN2" s="15" t="s">
        <v>48</v>
      </c>
    </row>
    <row r="3" spans="1:51" x14ac:dyDescent="0.25">
      <c r="A3" s="12" t="s">
        <v>2</v>
      </c>
      <c r="B3" s="5" t="s">
        <v>18</v>
      </c>
      <c r="C3" s="5" t="s">
        <v>24</v>
      </c>
      <c r="D3" s="5" t="s">
        <v>51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33</v>
      </c>
      <c r="J3" s="5" t="s">
        <v>15</v>
      </c>
      <c r="K3" s="5" t="s">
        <v>16</v>
      </c>
      <c r="L3" s="4" t="s">
        <v>7</v>
      </c>
      <c r="M3" s="6" t="s">
        <v>25</v>
      </c>
      <c r="N3" s="6" t="s">
        <v>26</v>
      </c>
      <c r="O3" s="6" t="s">
        <v>27</v>
      </c>
      <c r="P3" s="6" t="s">
        <v>30</v>
      </c>
      <c r="Q3" s="6" t="s">
        <v>49</v>
      </c>
      <c r="R3" s="6" t="s">
        <v>20</v>
      </c>
      <c r="S3" s="6" t="s">
        <v>8</v>
      </c>
      <c r="T3" s="10" t="s">
        <v>34</v>
      </c>
      <c r="U3" s="10" t="s">
        <v>35</v>
      </c>
      <c r="V3" s="10" t="s">
        <v>39</v>
      </c>
      <c r="W3" s="6" t="s">
        <v>9</v>
      </c>
      <c r="X3" s="7" t="s">
        <v>10</v>
      </c>
      <c r="Y3" s="7" t="s">
        <v>21</v>
      </c>
      <c r="Z3" s="14" t="s">
        <v>0</v>
      </c>
      <c r="AA3" s="14" t="s">
        <v>1</v>
      </c>
      <c r="AB3" s="14" t="s">
        <v>42</v>
      </c>
      <c r="AF3" s="15" t="s">
        <v>45</v>
      </c>
      <c r="AG3" s="15" t="s">
        <v>45</v>
      </c>
      <c r="AH3" s="15" t="s">
        <v>45</v>
      </c>
      <c r="AI3" s="15" t="s">
        <v>46</v>
      </c>
      <c r="AJ3" s="15" t="s">
        <v>50</v>
      </c>
      <c r="AK3" s="4"/>
      <c r="AL3" s="15" t="s">
        <v>50</v>
      </c>
      <c r="AM3" s="4"/>
      <c r="AN3" s="15" t="s">
        <v>50</v>
      </c>
    </row>
    <row r="4" spans="1:51" x14ac:dyDescent="0.25">
      <c r="A4" s="13" t="s">
        <v>11</v>
      </c>
      <c r="B4" s="9" t="s">
        <v>12</v>
      </c>
      <c r="C4" s="9" t="s">
        <v>12</v>
      </c>
      <c r="D4" s="9" t="s">
        <v>12</v>
      </c>
      <c r="E4" s="9" t="s">
        <v>12</v>
      </c>
      <c r="F4" s="9" t="s">
        <v>12</v>
      </c>
      <c r="G4" s="9" t="s">
        <v>12</v>
      </c>
      <c r="H4" s="9" t="s">
        <v>12</v>
      </c>
      <c r="I4" s="9" t="s">
        <v>12</v>
      </c>
      <c r="J4" s="9" t="s">
        <v>12</v>
      </c>
      <c r="K4" s="9" t="s">
        <v>12</v>
      </c>
      <c r="L4" s="8" t="s">
        <v>12</v>
      </c>
      <c r="M4" s="10" t="s">
        <v>13</v>
      </c>
      <c r="N4" s="10" t="s">
        <v>13</v>
      </c>
      <c r="O4" s="10" t="s">
        <v>13</v>
      </c>
      <c r="P4" s="10" t="s">
        <v>13</v>
      </c>
      <c r="Q4" s="10" t="s">
        <v>13</v>
      </c>
      <c r="R4" s="10" t="s">
        <v>13</v>
      </c>
      <c r="S4" s="10" t="s">
        <v>13</v>
      </c>
      <c r="T4" s="10" t="s">
        <v>17</v>
      </c>
      <c r="U4" s="10" t="s">
        <v>17</v>
      </c>
      <c r="V4" s="10" t="s">
        <v>17</v>
      </c>
      <c r="W4" s="10" t="s">
        <v>13</v>
      </c>
      <c r="X4" s="11" t="s">
        <v>14</v>
      </c>
      <c r="Y4" s="11" t="s">
        <v>13</v>
      </c>
      <c r="Z4" s="14" t="s">
        <v>13</v>
      </c>
      <c r="AA4" s="14" t="s">
        <v>13</v>
      </c>
      <c r="AB4" s="14" t="s">
        <v>13</v>
      </c>
      <c r="AF4" s="3">
        <v>25</v>
      </c>
      <c r="AG4" s="3">
        <v>20</v>
      </c>
      <c r="AH4" s="3">
        <v>100</v>
      </c>
      <c r="AI4" s="3">
        <v>4</v>
      </c>
      <c r="AJ4" s="3">
        <v>3.9780000000000002</v>
      </c>
      <c r="AL4">
        <v>4.0540000000000003</v>
      </c>
      <c r="AN4">
        <v>3.2</v>
      </c>
    </row>
    <row r="5" spans="1:51" x14ac:dyDescent="0.25">
      <c r="A5" s="2">
        <v>15000</v>
      </c>
      <c r="B5" s="2">
        <v>10.508385922159</v>
      </c>
      <c r="C5" s="2">
        <v>25.24</v>
      </c>
      <c r="D5" s="2">
        <f>C5+20.5</f>
        <v>45.739999999999995</v>
      </c>
      <c r="E5" s="2">
        <v>1.89</v>
      </c>
      <c r="F5" s="2">
        <v>23.55</v>
      </c>
      <c r="G5" s="2">
        <v>0</v>
      </c>
      <c r="H5" s="2">
        <v>0</v>
      </c>
      <c r="I5" s="2">
        <v>1.61407784096923E-3</v>
      </c>
      <c r="J5" s="2">
        <v>1.7934198232991401E-3</v>
      </c>
      <c r="K5" s="2">
        <v>15.54</v>
      </c>
      <c r="L5" s="2">
        <v>22.2</v>
      </c>
      <c r="M5" s="2">
        <v>0</v>
      </c>
      <c r="N5" s="2">
        <v>0</v>
      </c>
      <c r="O5" s="2">
        <v>1199</v>
      </c>
      <c r="P5" s="2">
        <v>-983</v>
      </c>
      <c r="Q5" s="2">
        <v>267</v>
      </c>
      <c r="R5" s="2">
        <v>905</v>
      </c>
      <c r="S5" s="2">
        <v>2065</v>
      </c>
      <c r="T5" s="2">
        <f>((A5-5328)*$AJ$4*$AI$4/100)/(1-(1+$AI$4/100)^-$AF$4)</f>
        <v>2462.8740947928009</v>
      </c>
      <c r="U5" s="2">
        <f>(ROUND(0.000312745*B5*10^6/3.2, 0)*$AL$4*$AI$4/100)/(1-(1+$AI$4/100)^-$AG$4)</f>
        <v>306.35452705973239</v>
      </c>
      <c r="V5" s="2">
        <f>(ROUND(0.000312745*B5*10^6/3.2, 0)*$AN$4*$AI$4/100)/(1-(1+$AI$4/100)^-$AH$4)</f>
        <v>134.11141132394866</v>
      </c>
      <c r="W5" s="2">
        <f>T5+U5+V5</f>
        <v>2903.3400331764819</v>
      </c>
      <c r="X5" s="2">
        <v>-12.198</v>
      </c>
      <c r="Y5" s="2">
        <f>Q5+R5+S5+W5</f>
        <v>6140.3400331764824</v>
      </c>
      <c r="Z5" s="2">
        <f>(A5-5328)*$AJ$4</f>
        <v>38475.216</v>
      </c>
      <c r="AA5">
        <f>ROUND(0.000312745*B5*10^6/3.2, 0)*$AL$4</f>
        <v>4163.4580000000005</v>
      </c>
      <c r="AB5">
        <f>ROUND(0.000312745*B5*10^6/3.2, 0)*$AN$4</f>
        <v>3286.4</v>
      </c>
      <c r="AC5" s="2"/>
      <c r="AD5" s="2"/>
    </row>
    <row r="6" spans="1:51" x14ac:dyDescent="0.25">
      <c r="A6" s="2">
        <v>15000</v>
      </c>
      <c r="B6" s="2">
        <v>10.508046017877399</v>
      </c>
      <c r="C6" s="2">
        <v>25.24</v>
      </c>
      <c r="D6" s="2">
        <f t="shared" ref="D6:D69" si="0">C6+20.5</f>
        <v>45.739999999999995</v>
      </c>
      <c r="E6" s="2">
        <v>1.89</v>
      </c>
      <c r="F6" s="2">
        <v>23.55</v>
      </c>
      <c r="G6" s="2">
        <v>0</v>
      </c>
      <c r="H6" s="2">
        <v>0</v>
      </c>
      <c r="I6" s="2">
        <v>1.9539821225791299E-3</v>
      </c>
      <c r="J6" s="2">
        <v>2.1710912473101398E-3</v>
      </c>
      <c r="K6" s="2">
        <v>15.54</v>
      </c>
      <c r="L6" s="2">
        <v>22.2</v>
      </c>
      <c r="M6" s="2">
        <v>0</v>
      </c>
      <c r="N6" s="2">
        <v>1</v>
      </c>
      <c r="O6" s="2">
        <v>1199</v>
      </c>
      <c r="P6" s="2">
        <v>-983</v>
      </c>
      <c r="Q6" s="2">
        <v>267</v>
      </c>
      <c r="R6" s="2">
        <v>905</v>
      </c>
      <c r="S6" s="2">
        <v>2065</v>
      </c>
      <c r="T6" s="2">
        <f t="shared" ref="T6:T69" si="1">((A6-5328)*$AJ$4*$AI$4/100)/(1-(1+$AI$4/100)^-$AF$4)</f>
        <v>2462.8740947928009</v>
      </c>
      <c r="U6" s="2">
        <f t="shared" ref="U6:U69" si="2">(ROUND(0.000312745*B6*10^6/3.2, 0)*$AL$4*$AI$4/100)/(1-(1+$AI$4/100)^-$AG$4)</f>
        <v>306.35452705973239</v>
      </c>
      <c r="V6" s="2">
        <f t="shared" ref="V6:V69" si="3">(ROUND(0.000312745*B6*10^6/3.2, 0)*$AN$4*$AI$4/100)/(1-(1+$AI$4/100)^-$AH$4)</f>
        <v>134.11141132394866</v>
      </c>
      <c r="W6" s="2">
        <f t="shared" ref="W6:W69" si="4">T6+U6+V6</f>
        <v>2903.3400331764819</v>
      </c>
      <c r="X6" s="2">
        <v>-12.198</v>
      </c>
      <c r="Y6" s="2">
        <f t="shared" ref="Y6:Y69" si="5">Q6+R6+S6+W6</f>
        <v>6140.3400331764824</v>
      </c>
      <c r="Z6" s="2">
        <f t="shared" ref="Z6:Z69" si="6">(A6-5328)*$AJ$4</f>
        <v>38475.216</v>
      </c>
      <c r="AA6">
        <f t="shared" ref="AA6:AA69" si="7">ROUND(0.000312745*B6*10^6/3.2, 0)*$AL$4</f>
        <v>4163.4580000000005</v>
      </c>
      <c r="AB6">
        <f t="shared" ref="AB6:AB69" si="8">ROUND(0.000312745*B6*10^6/3.2, 0)*$AN$4</f>
        <v>3286.4</v>
      </c>
      <c r="AC6" s="2"/>
      <c r="AD6" s="2"/>
      <c r="AF6" s="23" t="s">
        <v>54</v>
      </c>
      <c r="AG6" s="23" t="s">
        <v>52</v>
      </c>
    </row>
    <row r="7" spans="1:51" x14ac:dyDescent="0.25">
      <c r="A7" s="2">
        <v>14915</v>
      </c>
      <c r="B7" s="2">
        <v>10.517139037166499</v>
      </c>
      <c r="C7" s="2">
        <v>25.09</v>
      </c>
      <c r="D7" s="2">
        <f t="shared" si="0"/>
        <v>45.59</v>
      </c>
      <c r="E7" s="2">
        <v>1.91</v>
      </c>
      <c r="F7" s="2">
        <v>23.42</v>
      </c>
      <c r="G7" s="2">
        <v>0</v>
      </c>
      <c r="H7" s="2">
        <v>0</v>
      </c>
      <c r="I7" s="2">
        <v>0</v>
      </c>
      <c r="J7" s="2">
        <v>0</v>
      </c>
      <c r="K7" s="2">
        <v>15.5328609628334</v>
      </c>
      <c r="L7" s="2">
        <v>22.189801375476399</v>
      </c>
      <c r="M7" s="2">
        <v>0</v>
      </c>
      <c r="N7" s="2">
        <v>0</v>
      </c>
      <c r="O7" s="2">
        <v>1198</v>
      </c>
      <c r="P7" s="2">
        <v>-978</v>
      </c>
      <c r="Q7" s="2">
        <v>271</v>
      </c>
      <c r="R7" s="2">
        <v>903</v>
      </c>
      <c r="S7" s="2">
        <v>2065</v>
      </c>
      <c r="T7" s="2">
        <f t="shared" si="1"/>
        <v>2441.2297298158173</v>
      </c>
      <c r="U7" s="2">
        <f t="shared" si="2"/>
        <v>306.65282747556466</v>
      </c>
      <c r="V7" s="2">
        <f t="shared" si="3"/>
        <v>134.24199692406933</v>
      </c>
      <c r="W7" s="2">
        <f t="shared" si="4"/>
        <v>2882.1245542154511</v>
      </c>
      <c r="X7" s="2">
        <v>-12.116</v>
      </c>
      <c r="Y7" s="2">
        <f t="shared" si="5"/>
        <v>6121.1245542154511</v>
      </c>
      <c r="Z7" s="2">
        <f t="shared" si="6"/>
        <v>38137.086000000003</v>
      </c>
      <c r="AA7">
        <f t="shared" si="7"/>
        <v>4167.5120000000006</v>
      </c>
      <c r="AB7">
        <f t="shared" si="8"/>
        <v>3289.6000000000004</v>
      </c>
      <c r="AC7" s="2"/>
      <c r="AD7" s="2"/>
      <c r="AF7" s="23" t="s">
        <v>12</v>
      </c>
      <c r="AG7" s="23" t="s">
        <v>12</v>
      </c>
    </row>
    <row r="8" spans="1:51" x14ac:dyDescent="0.25">
      <c r="A8" s="2">
        <v>14736</v>
      </c>
      <c r="B8" s="2">
        <v>10.5366741818598</v>
      </c>
      <c r="C8" s="2">
        <v>24.79</v>
      </c>
      <c r="D8" s="2">
        <f t="shared" si="0"/>
        <v>45.29</v>
      </c>
      <c r="E8" s="2">
        <v>1.94</v>
      </c>
      <c r="F8" s="2">
        <v>23.14</v>
      </c>
      <c r="G8" s="2">
        <v>0</v>
      </c>
      <c r="H8" s="2">
        <v>0</v>
      </c>
      <c r="I8" s="2">
        <v>0</v>
      </c>
      <c r="J8" s="2">
        <v>0</v>
      </c>
      <c r="K8" s="2">
        <v>15.5133258181401</v>
      </c>
      <c r="L8" s="2">
        <v>22.161894025914499</v>
      </c>
      <c r="M8" s="2">
        <v>0</v>
      </c>
      <c r="N8" s="2">
        <v>0</v>
      </c>
      <c r="O8" s="2">
        <v>1197</v>
      </c>
      <c r="P8" s="2">
        <v>-967</v>
      </c>
      <c r="Q8" s="2">
        <v>281</v>
      </c>
      <c r="R8" s="2">
        <v>898</v>
      </c>
      <c r="S8" s="2">
        <v>2065</v>
      </c>
      <c r="T8" s="2">
        <f t="shared" si="1"/>
        <v>2395.6492435701693</v>
      </c>
      <c r="U8" s="2">
        <f t="shared" si="2"/>
        <v>307.2494283072291</v>
      </c>
      <c r="V8" s="2">
        <f t="shared" si="3"/>
        <v>134.50316812431072</v>
      </c>
      <c r="W8" s="2">
        <f t="shared" si="4"/>
        <v>2837.4018400017094</v>
      </c>
      <c r="X8" s="2">
        <v>-11.943</v>
      </c>
      <c r="Y8" s="2">
        <f t="shared" si="5"/>
        <v>6081.4018400017094</v>
      </c>
      <c r="Z8" s="2">
        <f t="shared" si="6"/>
        <v>37425.024000000005</v>
      </c>
      <c r="AA8">
        <f t="shared" si="7"/>
        <v>4175.62</v>
      </c>
      <c r="AB8">
        <f t="shared" si="8"/>
        <v>3296</v>
      </c>
      <c r="AC8" s="2"/>
      <c r="AD8" s="2"/>
      <c r="AF8" s="4">
        <v>20.8</v>
      </c>
      <c r="AG8" s="4">
        <v>26.05</v>
      </c>
    </row>
    <row r="9" spans="1:51" x14ac:dyDescent="0.25">
      <c r="A9" s="2">
        <v>14716</v>
      </c>
      <c r="B9" s="2">
        <v>10.512504718711201</v>
      </c>
      <c r="C9" s="2">
        <v>24.76</v>
      </c>
      <c r="D9" s="2">
        <f t="shared" si="0"/>
        <v>45.260000000000005</v>
      </c>
      <c r="E9" s="2">
        <v>1.94</v>
      </c>
      <c r="F9" s="2">
        <v>23.12</v>
      </c>
      <c r="G9" s="2">
        <v>0</v>
      </c>
      <c r="H9" s="2">
        <v>0</v>
      </c>
      <c r="I9" s="2">
        <v>0</v>
      </c>
      <c r="J9" s="2">
        <v>0</v>
      </c>
      <c r="K9" s="2">
        <v>15.537495281288701</v>
      </c>
      <c r="L9" s="2">
        <v>22.196421830412401</v>
      </c>
      <c r="M9" s="2">
        <v>0</v>
      </c>
      <c r="N9" s="2">
        <v>0</v>
      </c>
      <c r="O9" s="2">
        <v>1199</v>
      </c>
      <c r="P9" s="2">
        <v>-967</v>
      </c>
      <c r="Q9" s="2">
        <v>283</v>
      </c>
      <c r="R9" s="2">
        <v>898</v>
      </c>
      <c r="S9" s="2">
        <v>2065</v>
      </c>
      <c r="T9" s="2">
        <f t="shared" si="1"/>
        <v>2390.5564518108781</v>
      </c>
      <c r="U9" s="2">
        <f t="shared" si="2"/>
        <v>306.35452705973239</v>
      </c>
      <c r="V9" s="2">
        <f t="shared" si="3"/>
        <v>134.11141132394866</v>
      </c>
      <c r="W9" s="2">
        <f t="shared" si="4"/>
        <v>2831.0223901945592</v>
      </c>
      <c r="X9" s="2">
        <v>-11.928000000000001</v>
      </c>
      <c r="Y9" s="2">
        <f t="shared" si="5"/>
        <v>6077.0223901945592</v>
      </c>
      <c r="Z9" s="2">
        <f t="shared" si="6"/>
        <v>37345.464</v>
      </c>
      <c r="AA9">
        <f t="shared" si="7"/>
        <v>4163.4580000000005</v>
      </c>
      <c r="AB9">
        <f t="shared" si="8"/>
        <v>3286.4</v>
      </c>
      <c r="AC9" s="2"/>
      <c r="AD9" s="2"/>
    </row>
    <row r="10" spans="1:51" x14ac:dyDescent="0.25">
      <c r="A10" s="2">
        <v>14716</v>
      </c>
      <c r="B10" s="2">
        <v>10.512504718711201</v>
      </c>
      <c r="C10" s="2">
        <v>24.76</v>
      </c>
      <c r="D10" s="2">
        <f t="shared" si="0"/>
        <v>45.260000000000005</v>
      </c>
      <c r="E10" s="2">
        <v>1.94</v>
      </c>
      <c r="F10" s="2">
        <v>23.12</v>
      </c>
      <c r="G10" s="2">
        <v>0</v>
      </c>
      <c r="H10" s="2">
        <v>0</v>
      </c>
      <c r="I10" s="2">
        <v>0</v>
      </c>
      <c r="J10" s="2">
        <v>0</v>
      </c>
      <c r="K10" s="2">
        <v>15.537495281288701</v>
      </c>
      <c r="L10" s="2">
        <v>22.196421830412401</v>
      </c>
      <c r="M10" s="2">
        <v>0</v>
      </c>
      <c r="N10" s="2">
        <v>0</v>
      </c>
      <c r="O10" s="2">
        <v>1199</v>
      </c>
      <c r="P10" s="2">
        <v>-967</v>
      </c>
      <c r="Q10" s="2">
        <v>283</v>
      </c>
      <c r="R10" s="2">
        <v>898</v>
      </c>
      <c r="S10" s="2">
        <v>2065</v>
      </c>
      <c r="T10" s="2">
        <f t="shared" si="1"/>
        <v>2390.5564518108781</v>
      </c>
      <c r="U10" s="2">
        <f t="shared" si="2"/>
        <v>306.35452705973239</v>
      </c>
      <c r="V10" s="2">
        <f t="shared" si="3"/>
        <v>134.11141132394866</v>
      </c>
      <c r="W10" s="2">
        <f t="shared" si="4"/>
        <v>2831.0223901945592</v>
      </c>
      <c r="X10" s="2">
        <v>-11.928000000000001</v>
      </c>
      <c r="Y10" s="2">
        <f t="shared" si="5"/>
        <v>6077.0223901945592</v>
      </c>
      <c r="Z10" s="2">
        <f t="shared" si="6"/>
        <v>37345.464</v>
      </c>
      <c r="AA10">
        <f t="shared" si="7"/>
        <v>4163.4580000000005</v>
      </c>
      <c r="AB10">
        <f t="shared" si="8"/>
        <v>3286.4</v>
      </c>
      <c r="AC10" s="2"/>
      <c r="AD10" s="2"/>
    </row>
    <row r="11" spans="1:51" x14ac:dyDescent="0.25">
      <c r="A11" s="2">
        <v>14663</v>
      </c>
      <c r="B11" s="2">
        <v>10.518112156043999</v>
      </c>
      <c r="C11" s="2">
        <v>24.67</v>
      </c>
      <c r="D11" s="2">
        <f t="shared" si="0"/>
        <v>45.17</v>
      </c>
      <c r="E11" s="2">
        <v>1.95</v>
      </c>
      <c r="F11" s="2">
        <v>23.04</v>
      </c>
      <c r="G11" s="2">
        <v>0</v>
      </c>
      <c r="H11" s="2">
        <v>0</v>
      </c>
      <c r="I11" s="2">
        <v>0</v>
      </c>
      <c r="J11" s="2">
        <v>0</v>
      </c>
      <c r="K11" s="2">
        <v>15.5318878439559</v>
      </c>
      <c r="L11" s="2">
        <v>22.188411205651299</v>
      </c>
      <c r="M11" s="2">
        <v>0</v>
      </c>
      <c r="N11" s="2">
        <v>0</v>
      </c>
      <c r="O11" s="2">
        <v>1198</v>
      </c>
      <c r="P11" s="2">
        <v>-963</v>
      </c>
      <c r="Q11" s="2">
        <v>286</v>
      </c>
      <c r="R11" s="2">
        <v>897</v>
      </c>
      <c r="S11" s="2">
        <v>2065</v>
      </c>
      <c r="T11" s="2">
        <f t="shared" si="1"/>
        <v>2377.0605536487592</v>
      </c>
      <c r="U11" s="2">
        <f t="shared" si="2"/>
        <v>306.65282747556466</v>
      </c>
      <c r="V11" s="2">
        <f t="shared" si="3"/>
        <v>134.24199692406933</v>
      </c>
      <c r="W11" s="2">
        <f t="shared" si="4"/>
        <v>2817.955378048393</v>
      </c>
      <c r="X11" s="2">
        <v>-11.877000000000001</v>
      </c>
      <c r="Y11" s="2">
        <f t="shared" si="5"/>
        <v>6065.955378048393</v>
      </c>
      <c r="Z11" s="2">
        <f t="shared" si="6"/>
        <v>37134.630000000005</v>
      </c>
      <c r="AA11">
        <f t="shared" si="7"/>
        <v>4167.5120000000006</v>
      </c>
      <c r="AB11">
        <f t="shared" si="8"/>
        <v>3289.6000000000004</v>
      </c>
      <c r="AC11" s="2"/>
      <c r="AD11" s="2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</row>
    <row r="12" spans="1:51" x14ac:dyDescent="0.25">
      <c r="A12" s="2">
        <v>14646</v>
      </c>
      <c r="B12" s="2">
        <v>10.9773636036761</v>
      </c>
      <c r="C12" s="2">
        <v>24.64</v>
      </c>
      <c r="D12" s="2">
        <f t="shared" si="0"/>
        <v>45.14</v>
      </c>
      <c r="E12" s="2">
        <v>2.02</v>
      </c>
      <c r="F12" s="2">
        <v>22.94</v>
      </c>
      <c r="G12" s="2">
        <v>0</v>
      </c>
      <c r="H12" s="2">
        <v>0</v>
      </c>
      <c r="I12" s="2">
        <v>0</v>
      </c>
      <c r="J12" s="2">
        <v>0</v>
      </c>
      <c r="K12" s="2">
        <v>15.0726363963238</v>
      </c>
      <c r="L12" s="2">
        <v>21.532337709034</v>
      </c>
      <c r="M12" s="2">
        <v>0</v>
      </c>
      <c r="N12" s="2">
        <v>0</v>
      </c>
      <c r="O12" s="2">
        <v>1163</v>
      </c>
      <c r="P12" s="2">
        <v>-954</v>
      </c>
      <c r="Q12" s="2">
        <v>260</v>
      </c>
      <c r="R12" s="2">
        <v>895</v>
      </c>
      <c r="S12" s="2">
        <v>2077</v>
      </c>
      <c r="T12" s="2">
        <f t="shared" si="1"/>
        <v>2372.7316806533627</v>
      </c>
      <c r="U12" s="2">
        <f t="shared" si="2"/>
        <v>320.07634618801637</v>
      </c>
      <c r="V12" s="2">
        <f t="shared" si="3"/>
        <v>140.1183489295004</v>
      </c>
      <c r="W12" s="2">
        <f t="shared" si="4"/>
        <v>2832.9263757708795</v>
      </c>
      <c r="X12" s="2">
        <v>-11.78</v>
      </c>
      <c r="Y12" s="2">
        <f t="shared" si="5"/>
        <v>6064.9263757708795</v>
      </c>
      <c r="Z12" s="2">
        <f t="shared" si="6"/>
        <v>37067.004000000001</v>
      </c>
      <c r="AA12">
        <f t="shared" si="7"/>
        <v>4349.942</v>
      </c>
      <c r="AB12">
        <f t="shared" si="8"/>
        <v>3433.6000000000004</v>
      </c>
      <c r="AC12" s="2"/>
      <c r="AD12" s="2"/>
    </row>
    <row r="13" spans="1:51" x14ac:dyDescent="0.25">
      <c r="A13" s="2">
        <v>14555</v>
      </c>
      <c r="B13" s="2">
        <v>10.5420601707935</v>
      </c>
      <c r="C13" s="2">
        <v>24.49</v>
      </c>
      <c r="D13" s="2">
        <f t="shared" si="0"/>
        <v>44.989999999999995</v>
      </c>
      <c r="E13" s="2">
        <v>1.97</v>
      </c>
      <c r="F13" s="2">
        <v>22.87</v>
      </c>
      <c r="G13" s="2">
        <v>0</v>
      </c>
      <c r="H13" s="2">
        <v>0</v>
      </c>
      <c r="I13" s="2">
        <v>0</v>
      </c>
      <c r="J13" s="2">
        <v>0</v>
      </c>
      <c r="K13" s="2">
        <v>15.5079398292064</v>
      </c>
      <c r="L13" s="2">
        <v>22.154199756009099</v>
      </c>
      <c r="M13" s="2">
        <v>0</v>
      </c>
      <c r="N13" s="2">
        <v>0</v>
      </c>
      <c r="O13" s="2">
        <v>1196</v>
      </c>
      <c r="P13" s="2">
        <v>-956</v>
      </c>
      <c r="Q13" s="2">
        <v>291</v>
      </c>
      <c r="R13" s="2">
        <v>894</v>
      </c>
      <c r="S13" s="2">
        <v>2065</v>
      </c>
      <c r="T13" s="2">
        <f t="shared" si="1"/>
        <v>2349.5594781485916</v>
      </c>
      <c r="U13" s="2">
        <f t="shared" si="2"/>
        <v>307.2494283072291</v>
      </c>
      <c r="V13" s="2">
        <f t="shared" si="3"/>
        <v>134.50316812431072</v>
      </c>
      <c r="W13" s="2">
        <f t="shared" si="4"/>
        <v>2791.3120745801316</v>
      </c>
      <c r="X13" s="2">
        <v>-11.771000000000001</v>
      </c>
      <c r="Y13" s="2">
        <f t="shared" si="5"/>
        <v>6041.3120745801316</v>
      </c>
      <c r="Z13" s="2">
        <f t="shared" si="6"/>
        <v>36705.006000000001</v>
      </c>
      <c r="AA13">
        <f t="shared" si="7"/>
        <v>4175.62</v>
      </c>
      <c r="AB13">
        <f t="shared" si="8"/>
        <v>3296</v>
      </c>
      <c r="AC13" s="2"/>
      <c r="AD13" s="2"/>
    </row>
    <row r="14" spans="1:51" x14ac:dyDescent="0.25">
      <c r="A14" s="2">
        <v>14546</v>
      </c>
      <c r="B14" s="2">
        <v>10.5135121539964</v>
      </c>
      <c r="C14" s="2">
        <v>24.47</v>
      </c>
      <c r="D14" s="2">
        <f t="shared" si="0"/>
        <v>44.97</v>
      </c>
      <c r="E14" s="2">
        <v>1.97</v>
      </c>
      <c r="F14" s="2">
        <v>22.86</v>
      </c>
      <c r="G14" s="2">
        <v>0</v>
      </c>
      <c r="H14" s="2">
        <v>0</v>
      </c>
      <c r="I14" s="2">
        <v>0</v>
      </c>
      <c r="J14" s="2">
        <v>0</v>
      </c>
      <c r="K14" s="2">
        <v>15.536487846003499</v>
      </c>
      <c r="L14" s="2">
        <v>22.194982637147898</v>
      </c>
      <c r="M14" s="2">
        <v>0</v>
      </c>
      <c r="N14" s="2">
        <v>0</v>
      </c>
      <c r="O14" s="2">
        <v>1199</v>
      </c>
      <c r="P14" s="2">
        <v>-956</v>
      </c>
      <c r="Q14" s="2">
        <v>293</v>
      </c>
      <c r="R14" s="2">
        <v>894</v>
      </c>
      <c r="S14" s="2">
        <v>2065</v>
      </c>
      <c r="T14" s="2">
        <f t="shared" si="1"/>
        <v>2347.2677218569111</v>
      </c>
      <c r="U14" s="2">
        <f t="shared" si="2"/>
        <v>306.65282747556466</v>
      </c>
      <c r="V14" s="2">
        <f t="shared" si="3"/>
        <v>134.24199692406933</v>
      </c>
      <c r="W14" s="2">
        <f t="shared" si="4"/>
        <v>2788.1625462565453</v>
      </c>
      <c r="X14" s="2">
        <v>-11.766999999999999</v>
      </c>
      <c r="Y14" s="2">
        <f t="shared" si="5"/>
        <v>6040.1625462565453</v>
      </c>
      <c r="Z14" s="2">
        <f t="shared" si="6"/>
        <v>36669.204000000005</v>
      </c>
      <c r="AA14">
        <f t="shared" si="7"/>
        <v>4167.5120000000006</v>
      </c>
      <c r="AB14">
        <f t="shared" si="8"/>
        <v>3289.6000000000004</v>
      </c>
      <c r="AC14" s="2"/>
      <c r="AD14" s="2"/>
      <c r="AF14" s="17" t="s">
        <v>23</v>
      </c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</row>
    <row r="15" spans="1:51" x14ac:dyDescent="0.25">
      <c r="A15" s="2">
        <v>14531</v>
      </c>
      <c r="B15" s="2">
        <v>10.509887609315401</v>
      </c>
      <c r="C15" s="2">
        <v>24.45</v>
      </c>
      <c r="D15" s="2">
        <f t="shared" si="0"/>
        <v>44.95</v>
      </c>
      <c r="E15" s="2">
        <v>1.97</v>
      </c>
      <c r="F15" s="2">
        <v>22.84</v>
      </c>
      <c r="G15" s="2">
        <v>0</v>
      </c>
      <c r="H15" s="2">
        <v>0</v>
      </c>
      <c r="I15" s="2">
        <v>1.12390684531504E-4</v>
      </c>
      <c r="J15" s="2">
        <v>1.2487853836833801E-4</v>
      </c>
      <c r="K15" s="2">
        <v>15.54</v>
      </c>
      <c r="L15" s="2">
        <v>22.2</v>
      </c>
      <c r="M15" s="2">
        <v>0</v>
      </c>
      <c r="N15" s="2">
        <v>0</v>
      </c>
      <c r="O15" s="2">
        <v>1199</v>
      </c>
      <c r="P15" s="2">
        <v>-956</v>
      </c>
      <c r="Q15" s="2">
        <v>294</v>
      </c>
      <c r="R15" s="2">
        <v>893</v>
      </c>
      <c r="S15" s="2">
        <v>2065</v>
      </c>
      <c r="T15" s="2">
        <f t="shared" si="1"/>
        <v>2343.448128037443</v>
      </c>
      <c r="U15" s="2">
        <f t="shared" si="2"/>
        <v>306.35452705973239</v>
      </c>
      <c r="V15" s="2">
        <f t="shared" si="3"/>
        <v>134.11141132394866</v>
      </c>
      <c r="W15" s="2">
        <f t="shared" si="4"/>
        <v>2783.9140664211241</v>
      </c>
      <c r="X15" s="2">
        <v>-11.753</v>
      </c>
      <c r="Y15" s="2">
        <f t="shared" si="5"/>
        <v>6035.9140664211245</v>
      </c>
      <c r="Z15" s="2">
        <f t="shared" si="6"/>
        <v>36609.534</v>
      </c>
      <c r="AA15">
        <f t="shared" si="7"/>
        <v>4163.4580000000005</v>
      </c>
      <c r="AB15">
        <f t="shared" si="8"/>
        <v>3286.4</v>
      </c>
      <c r="AC15" s="2"/>
      <c r="AE15" s="12" t="s">
        <v>2</v>
      </c>
      <c r="AF15" s="5" t="s">
        <v>18</v>
      </c>
      <c r="AG15" s="5" t="s">
        <v>24</v>
      </c>
      <c r="AH15" s="5" t="s">
        <v>3</v>
      </c>
      <c r="AI15" s="5" t="s">
        <v>4</v>
      </c>
      <c r="AJ15" s="5" t="s">
        <v>5</v>
      </c>
      <c r="AK15" s="5" t="s">
        <v>6</v>
      </c>
      <c r="AL15" s="5" t="s">
        <v>33</v>
      </c>
      <c r="AM15" s="5" t="s">
        <v>15</v>
      </c>
      <c r="AN15" s="5" t="s">
        <v>16</v>
      </c>
      <c r="AO15" s="5" t="s">
        <v>7</v>
      </c>
      <c r="AP15" s="10" t="s">
        <v>25</v>
      </c>
      <c r="AQ15" s="10" t="s">
        <v>26</v>
      </c>
      <c r="AR15" s="10" t="s">
        <v>27</v>
      </c>
      <c r="AS15" s="6" t="s">
        <v>30</v>
      </c>
      <c r="AT15" s="10" t="s">
        <v>19</v>
      </c>
      <c r="AU15" s="10" t="s">
        <v>20</v>
      </c>
      <c r="AV15" s="10" t="s">
        <v>8</v>
      </c>
      <c r="AW15" s="10" t="s">
        <v>9</v>
      </c>
      <c r="AX15" s="11" t="s">
        <v>10</v>
      </c>
      <c r="AY15" s="11" t="s">
        <v>28</v>
      </c>
    </row>
    <row r="16" spans="1:51" x14ac:dyDescent="0.25">
      <c r="A16" s="2">
        <v>14506</v>
      </c>
      <c r="B16" s="2">
        <v>10.584755417355201</v>
      </c>
      <c r="C16" s="2">
        <v>24.41</v>
      </c>
      <c r="D16" s="2">
        <f t="shared" si="0"/>
        <v>44.91</v>
      </c>
      <c r="E16" s="2">
        <v>1.99</v>
      </c>
      <c r="F16" s="2">
        <v>22.79</v>
      </c>
      <c r="G16" s="2">
        <v>0</v>
      </c>
      <c r="H16" s="2">
        <v>0</v>
      </c>
      <c r="I16" s="2">
        <v>0</v>
      </c>
      <c r="J16" s="2">
        <v>0</v>
      </c>
      <c r="K16" s="2">
        <v>15.465244582644701</v>
      </c>
      <c r="L16" s="2">
        <v>22.093206546635201</v>
      </c>
      <c r="M16" s="2">
        <v>0</v>
      </c>
      <c r="N16" s="2">
        <v>0</v>
      </c>
      <c r="O16" s="2">
        <v>1193</v>
      </c>
      <c r="P16" s="2">
        <v>-953</v>
      </c>
      <c r="Q16" s="2">
        <v>292</v>
      </c>
      <c r="R16" s="2">
        <v>893</v>
      </c>
      <c r="S16" s="2">
        <v>2067</v>
      </c>
      <c r="T16" s="2">
        <f t="shared" si="1"/>
        <v>2337.08213833833</v>
      </c>
      <c r="U16" s="2">
        <f t="shared" si="2"/>
        <v>308.44262997055813</v>
      </c>
      <c r="V16" s="2">
        <f t="shared" si="3"/>
        <v>135.02551052479348</v>
      </c>
      <c r="W16" s="2">
        <f t="shared" si="4"/>
        <v>2780.5502788336817</v>
      </c>
      <c r="X16" s="2">
        <v>-11.717000000000001</v>
      </c>
      <c r="Y16" s="2">
        <f t="shared" si="5"/>
        <v>6032.5502788336817</v>
      </c>
      <c r="Z16" s="2">
        <f t="shared" si="6"/>
        <v>36510.084000000003</v>
      </c>
      <c r="AA16">
        <f t="shared" si="7"/>
        <v>4191.8360000000002</v>
      </c>
      <c r="AB16">
        <f t="shared" si="8"/>
        <v>3308.8</v>
      </c>
      <c r="AC16" s="2"/>
      <c r="AE16" s="13" t="s">
        <v>11</v>
      </c>
      <c r="AF16" s="5" t="s">
        <v>12</v>
      </c>
      <c r="AG16" s="5" t="s">
        <v>12</v>
      </c>
      <c r="AH16" s="5" t="s">
        <v>12</v>
      </c>
      <c r="AI16" s="5" t="s">
        <v>12</v>
      </c>
      <c r="AJ16" s="5" t="s">
        <v>12</v>
      </c>
      <c r="AK16" s="5" t="s">
        <v>12</v>
      </c>
      <c r="AL16" s="5" t="s">
        <v>12</v>
      </c>
      <c r="AM16" s="5" t="s">
        <v>12</v>
      </c>
      <c r="AN16" s="5" t="s">
        <v>12</v>
      </c>
      <c r="AO16" s="5" t="s">
        <v>12</v>
      </c>
      <c r="AP16" s="10" t="s">
        <v>13</v>
      </c>
      <c r="AQ16" s="10" t="s">
        <v>13</v>
      </c>
      <c r="AR16" s="10" t="s">
        <v>13</v>
      </c>
      <c r="AS16" s="10" t="s">
        <v>13</v>
      </c>
      <c r="AT16" s="10" t="s">
        <v>13</v>
      </c>
      <c r="AU16" s="10" t="s">
        <v>13</v>
      </c>
      <c r="AV16" s="10" t="s">
        <v>13</v>
      </c>
      <c r="AW16" s="10" t="s">
        <v>13</v>
      </c>
      <c r="AX16" s="11" t="s">
        <v>14</v>
      </c>
      <c r="AY16" s="11" t="s">
        <v>13</v>
      </c>
    </row>
    <row r="17" spans="1:51" x14ac:dyDescent="0.25">
      <c r="A17" s="2">
        <v>14418</v>
      </c>
      <c r="B17" s="2">
        <v>10.5046100793456</v>
      </c>
      <c r="C17" s="2">
        <v>24.26</v>
      </c>
      <c r="D17" s="2">
        <f t="shared" si="0"/>
        <v>44.760000000000005</v>
      </c>
      <c r="E17" s="2">
        <v>1.99</v>
      </c>
      <c r="F17" s="2">
        <v>22.67</v>
      </c>
      <c r="G17" s="2">
        <v>0</v>
      </c>
      <c r="H17" s="2">
        <v>0</v>
      </c>
      <c r="I17" s="2">
        <v>5.3899206543608297E-3</v>
      </c>
      <c r="J17" s="2">
        <v>5.98880072706759E-3</v>
      </c>
      <c r="K17" s="2">
        <v>15.54</v>
      </c>
      <c r="L17" s="2">
        <v>22.2</v>
      </c>
      <c r="M17" s="2">
        <v>0</v>
      </c>
      <c r="N17" s="2">
        <v>1</v>
      </c>
      <c r="O17" s="2">
        <v>1199</v>
      </c>
      <c r="P17" s="2">
        <v>-949</v>
      </c>
      <c r="Q17" s="2">
        <v>303</v>
      </c>
      <c r="R17" s="2">
        <v>891</v>
      </c>
      <c r="S17" s="2">
        <v>2065</v>
      </c>
      <c r="T17" s="2">
        <f t="shared" si="1"/>
        <v>2314.6738545974526</v>
      </c>
      <c r="U17" s="2">
        <f t="shared" si="2"/>
        <v>306.35452705973239</v>
      </c>
      <c r="V17" s="2">
        <f t="shared" si="3"/>
        <v>134.11141132394866</v>
      </c>
      <c r="W17" s="2">
        <f t="shared" si="4"/>
        <v>2755.1397929811337</v>
      </c>
      <c r="X17" s="2">
        <v>-11.646000000000001</v>
      </c>
      <c r="Y17" s="2">
        <f t="shared" si="5"/>
        <v>6014.1397929811337</v>
      </c>
      <c r="Z17" s="2">
        <f t="shared" si="6"/>
        <v>36160.020000000004</v>
      </c>
      <c r="AA17">
        <f t="shared" si="7"/>
        <v>4163.4580000000005</v>
      </c>
      <c r="AB17">
        <f t="shared" si="8"/>
        <v>3286.4</v>
      </c>
      <c r="AD17" s="24" t="s">
        <v>29</v>
      </c>
      <c r="AE17" s="24">
        <v>5328</v>
      </c>
      <c r="AF17" s="24">
        <v>0</v>
      </c>
      <c r="AG17" s="24">
        <v>8.9600000000000009</v>
      </c>
      <c r="AH17" s="24">
        <v>2.1800000000000002</v>
      </c>
      <c r="AI17" s="24">
        <v>10.84</v>
      </c>
      <c r="AJ17" s="25">
        <f>AK17*0.8</f>
        <v>6.5120000000000005</v>
      </c>
      <c r="AK17" s="24">
        <v>8.14</v>
      </c>
      <c r="AL17" s="25">
        <f>AM17*0.9</f>
        <v>3.9960000000000004</v>
      </c>
      <c r="AM17" s="24">
        <v>4.4400000000000004</v>
      </c>
      <c r="AN17" s="25">
        <f>AO17*0.7</f>
        <v>15.54</v>
      </c>
      <c r="AO17" s="25">
        <v>22.2</v>
      </c>
      <c r="AP17" s="25">
        <v>1180</v>
      </c>
      <c r="AQ17" s="25">
        <v>1061</v>
      </c>
      <c r="AR17" s="25">
        <v>1199</v>
      </c>
      <c r="AS17" s="25">
        <v>-425</v>
      </c>
      <c r="AT17" s="25">
        <v>3066</v>
      </c>
      <c r="AU17" s="25">
        <v>697</v>
      </c>
      <c r="AV17" s="25">
        <v>1783.39</v>
      </c>
      <c r="AW17" s="25">
        <v>0</v>
      </c>
      <c r="AX17" s="25">
        <v>-1.81</v>
      </c>
      <c r="AY17" s="25">
        <f>AT17+AU17+AV17+AW17</f>
        <v>5546.39</v>
      </c>
    </row>
    <row r="18" spans="1:51" x14ac:dyDescent="0.25">
      <c r="A18" s="2">
        <v>14417</v>
      </c>
      <c r="B18" s="2">
        <v>10.5426769972843</v>
      </c>
      <c r="C18" s="2">
        <v>24.26</v>
      </c>
      <c r="D18" s="2">
        <f t="shared" si="0"/>
        <v>44.760000000000005</v>
      </c>
      <c r="E18" s="2">
        <v>2</v>
      </c>
      <c r="F18" s="2">
        <v>22.66</v>
      </c>
      <c r="G18" s="2">
        <v>0</v>
      </c>
      <c r="H18" s="2">
        <v>0</v>
      </c>
      <c r="I18" s="2">
        <v>0</v>
      </c>
      <c r="J18" s="2">
        <v>0</v>
      </c>
      <c r="K18" s="2">
        <v>15.5073230027156</v>
      </c>
      <c r="L18" s="2">
        <v>22.153318575307999</v>
      </c>
      <c r="M18" s="2">
        <v>0</v>
      </c>
      <c r="N18" s="2">
        <v>0</v>
      </c>
      <c r="O18" s="2">
        <v>1196</v>
      </c>
      <c r="P18" s="2">
        <v>-948</v>
      </c>
      <c r="Q18" s="2">
        <v>299</v>
      </c>
      <c r="R18" s="2">
        <v>890</v>
      </c>
      <c r="S18" s="2">
        <v>2066</v>
      </c>
      <c r="T18" s="2">
        <f t="shared" si="1"/>
        <v>2314.4192150094882</v>
      </c>
      <c r="U18" s="2">
        <f t="shared" si="2"/>
        <v>307.2494283072291</v>
      </c>
      <c r="V18" s="2">
        <f t="shared" si="3"/>
        <v>134.50316812431072</v>
      </c>
      <c r="W18" s="2">
        <f t="shared" si="4"/>
        <v>2756.1718114410282</v>
      </c>
      <c r="X18" s="2">
        <v>-11.64</v>
      </c>
      <c r="Y18" s="2">
        <f t="shared" si="5"/>
        <v>6011.1718114410287</v>
      </c>
      <c r="Z18" s="2">
        <f t="shared" si="6"/>
        <v>36156.042000000001</v>
      </c>
      <c r="AA18">
        <f t="shared" si="7"/>
        <v>4175.62</v>
      </c>
      <c r="AB18">
        <f t="shared" si="8"/>
        <v>3296</v>
      </c>
      <c r="AD18" s="26" t="s">
        <v>53</v>
      </c>
      <c r="AE18" s="27">
        <v>5328</v>
      </c>
      <c r="AF18" s="27">
        <v>10.508623209900801</v>
      </c>
      <c r="AG18" s="27">
        <v>8.9600000000000009</v>
      </c>
      <c r="AH18" s="27">
        <v>4.18</v>
      </c>
      <c r="AI18" s="27">
        <v>9.56</v>
      </c>
      <c r="AJ18" s="27">
        <v>0</v>
      </c>
      <c r="AK18" s="27">
        <v>0</v>
      </c>
      <c r="AL18" s="27">
        <v>1.3767900991386E-3</v>
      </c>
      <c r="AM18" s="27">
        <v>1.52976677682066E-3</v>
      </c>
      <c r="AN18" s="27">
        <v>15.54</v>
      </c>
      <c r="AO18" s="27">
        <v>22.2</v>
      </c>
      <c r="AP18" s="27">
        <v>0</v>
      </c>
      <c r="AQ18" s="27">
        <v>0</v>
      </c>
      <c r="AR18" s="27">
        <v>1199</v>
      </c>
      <c r="AS18" s="27">
        <v>-220</v>
      </c>
      <c r="AT18" s="27">
        <v>1030</v>
      </c>
      <c r="AU18" s="27">
        <v>663</v>
      </c>
      <c r="AV18" s="27">
        <v>2065</v>
      </c>
      <c r="AW18" s="27">
        <v>440.00107350628599</v>
      </c>
      <c r="AX18" s="27">
        <v>-3.032</v>
      </c>
      <c r="AY18" s="27">
        <v>4198.0010735062797</v>
      </c>
    </row>
    <row r="19" spans="1:51" x14ac:dyDescent="0.25">
      <c r="A19" s="2">
        <v>14291</v>
      </c>
      <c r="B19" s="2">
        <v>10.536766204494899</v>
      </c>
      <c r="C19" s="2">
        <v>24.04</v>
      </c>
      <c r="D19" s="2">
        <f t="shared" si="0"/>
        <v>44.54</v>
      </c>
      <c r="E19" s="2">
        <v>2.02</v>
      </c>
      <c r="F19" s="2">
        <v>22.48</v>
      </c>
      <c r="G19" s="2">
        <v>0</v>
      </c>
      <c r="H19" s="2">
        <v>0</v>
      </c>
      <c r="I19" s="2">
        <v>0</v>
      </c>
      <c r="J19" s="2">
        <v>0</v>
      </c>
      <c r="K19" s="2">
        <v>15.513233795505</v>
      </c>
      <c r="L19" s="2">
        <v>22.161762565007098</v>
      </c>
      <c r="M19" s="2">
        <v>0</v>
      </c>
      <c r="N19" s="2">
        <v>0</v>
      </c>
      <c r="O19" s="2">
        <v>1197</v>
      </c>
      <c r="P19" s="2">
        <v>-941</v>
      </c>
      <c r="Q19" s="2">
        <v>307</v>
      </c>
      <c r="R19" s="2">
        <v>887</v>
      </c>
      <c r="S19" s="2">
        <v>2065</v>
      </c>
      <c r="T19" s="2">
        <f t="shared" si="1"/>
        <v>2282.3346269259591</v>
      </c>
      <c r="U19" s="2">
        <f t="shared" si="2"/>
        <v>307.2494283072291</v>
      </c>
      <c r="V19" s="2">
        <f t="shared" si="3"/>
        <v>134.50316812431072</v>
      </c>
      <c r="W19" s="2">
        <f t="shared" si="4"/>
        <v>2724.0872233574992</v>
      </c>
      <c r="X19" s="2">
        <v>-11.521000000000001</v>
      </c>
      <c r="Y19" s="2">
        <f t="shared" si="5"/>
        <v>5983.0872233574992</v>
      </c>
      <c r="Z19" s="2">
        <f t="shared" si="6"/>
        <v>35654.813999999998</v>
      </c>
      <c r="AA19">
        <f t="shared" si="7"/>
        <v>4175.62</v>
      </c>
      <c r="AB19">
        <f t="shared" si="8"/>
        <v>3296</v>
      </c>
    </row>
    <row r="20" spans="1:51" x14ac:dyDescent="0.25">
      <c r="A20" s="2">
        <v>14260</v>
      </c>
      <c r="B20" s="2">
        <v>10.5106517117145</v>
      </c>
      <c r="C20" s="2">
        <v>23.99</v>
      </c>
      <c r="D20" s="2">
        <f t="shared" si="0"/>
        <v>44.489999999999995</v>
      </c>
      <c r="E20" s="2">
        <v>2.02</v>
      </c>
      <c r="F20" s="2">
        <v>22.43</v>
      </c>
      <c r="G20" s="2">
        <v>0</v>
      </c>
      <c r="H20" s="2">
        <v>0</v>
      </c>
      <c r="I20" s="2">
        <v>0</v>
      </c>
      <c r="J20" s="2">
        <v>0</v>
      </c>
      <c r="K20" s="2">
        <v>15.539348288285399</v>
      </c>
      <c r="L20" s="2">
        <v>22.199068983264901</v>
      </c>
      <c r="M20" s="2">
        <v>0</v>
      </c>
      <c r="N20" s="2">
        <v>0</v>
      </c>
      <c r="O20" s="2">
        <v>1199</v>
      </c>
      <c r="P20" s="2">
        <v>-939</v>
      </c>
      <c r="Q20" s="2">
        <v>311</v>
      </c>
      <c r="R20" s="2">
        <v>887</v>
      </c>
      <c r="S20" s="2">
        <v>2065</v>
      </c>
      <c r="T20" s="2">
        <f t="shared" si="1"/>
        <v>2274.440799699059</v>
      </c>
      <c r="U20" s="2">
        <f t="shared" si="2"/>
        <v>306.35452705973239</v>
      </c>
      <c r="V20" s="2">
        <f t="shared" si="3"/>
        <v>134.11141132394866</v>
      </c>
      <c r="W20" s="2">
        <f t="shared" si="4"/>
        <v>2714.90673808274</v>
      </c>
      <c r="X20" s="2">
        <v>-11.496</v>
      </c>
      <c r="Y20" s="2">
        <f t="shared" si="5"/>
        <v>5977.90673808274</v>
      </c>
      <c r="Z20" s="2">
        <f t="shared" si="6"/>
        <v>35531.495999999999</v>
      </c>
      <c r="AA20">
        <f t="shared" si="7"/>
        <v>4163.4580000000005</v>
      </c>
      <c r="AB20">
        <f t="shared" si="8"/>
        <v>3286.4</v>
      </c>
    </row>
    <row r="21" spans="1:51" x14ac:dyDescent="0.25">
      <c r="A21" s="2">
        <v>14260</v>
      </c>
      <c r="B21" s="2">
        <v>10.5106517117145</v>
      </c>
      <c r="C21" s="2">
        <v>23.99</v>
      </c>
      <c r="D21" s="2">
        <f t="shared" si="0"/>
        <v>44.489999999999995</v>
      </c>
      <c r="E21" s="2">
        <v>2.02</v>
      </c>
      <c r="F21" s="2">
        <v>22.43</v>
      </c>
      <c r="G21" s="2">
        <v>0</v>
      </c>
      <c r="H21" s="2">
        <v>0</v>
      </c>
      <c r="I21" s="2">
        <v>0</v>
      </c>
      <c r="J21" s="2">
        <v>0</v>
      </c>
      <c r="K21" s="2">
        <v>15.539348288285399</v>
      </c>
      <c r="L21" s="2">
        <v>22.199068983264901</v>
      </c>
      <c r="M21" s="2">
        <v>0</v>
      </c>
      <c r="N21" s="2">
        <v>0</v>
      </c>
      <c r="O21" s="2">
        <v>1199</v>
      </c>
      <c r="P21" s="2">
        <v>-939</v>
      </c>
      <c r="Q21" s="2">
        <v>311</v>
      </c>
      <c r="R21" s="2">
        <v>887</v>
      </c>
      <c r="S21" s="2">
        <v>2065</v>
      </c>
      <c r="T21" s="2">
        <f t="shared" si="1"/>
        <v>2274.440799699059</v>
      </c>
      <c r="U21" s="2">
        <f t="shared" si="2"/>
        <v>306.35452705973239</v>
      </c>
      <c r="V21" s="2">
        <f t="shared" si="3"/>
        <v>134.11141132394866</v>
      </c>
      <c r="W21" s="2">
        <f t="shared" si="4"/>
        <v>2714.90673808274</v>
      </c>
      <c r="X21" s="2">
        <v>-11.496</v>
      </c>
      <c r="Y21" s="2">
        <f t="shared" si="5"/>
        <v>5977.90673808274</v>
      </c>
      <c r="Z21" s="2">
        <f t="shared" si="6"/>
        <v>35531.495999999999</v>
      </c>
      <c r="AA21">
        <f t="shared" si="7"/>
        <v>4163.4580000000005</v>
      </c>
      <c r="AB21">
        <f t="shared" si="8"/>
        <v>3286.4</v>
      </c>
      <c r="AE21" s="22" t="s">
        <v>32</v>
      </c>
      <c r="AF21" s="22" t="s">
        <v>31</v>
      </c>
    </row>
    <row r="22" spans="1:51" x14ac:dyDescent="0.25">
      <c r="A22" s="2">
        <v>14214</v>
      </c>
      <c r="B22" s="2">
        <v>10.541442098584801</v>
      </c>
      <c r="C22" s="2">
        <v>23.91</v>
      </c>
      <c r="D22" s="2">
        <f t="shared" si="0"/>
        <v>44.41</v>
      </c>
      <c r="E22" s="2">
        <v>2.0299999999999998</v>
      </c>
      <c r="F22" s="2">
        <v>22.36</v>
      </c>
      <c r="G22" s="2">
        <v>0</v>
      </c>
      <c r="H22" s="2">
        <v>0</v>
      </c>
      <c r="I22" s="2">
        <v>0</v>
      </c>
      <c r="J22" s="2">
        <v>0</v>
      </c>
      <c r="K22" s="2">
        <v>15.5085579014151</v>
      </c>
      <c r="L22" s="2">
        <v>22.155082716307302</v>
      </c>
      <c r="M22" s="2">
        <v>0</v>
      </c>
      <c r="N22" s="2">
        <v>0</v>
      </c>
      <c r="O22" s="2">
        <v>1196</v>
      </c>
      <c r="P22" s="2">
        <v>-936</v>
      </c>
      <c r="Q22" s="2">
        <v>312</v>
      </c>
      <c r="R22" s="2">
        <v>885</v>
      </c>
      <c r="S22" s="2">
        <v>2065</v>
      </c>
      <c r="T22" s="2">
        <f t="shared" si="1"/>
        <v>2262.7273786526916</v>
      </c>
      <c r="U22" s="2">
        <f t="shared" si="2"/>
        <v>307.2494283072291</v>
      </c>
      <c r="V22" s="2">
        <f t="shared" si="3"/>
        <v>134.50316812431072</v>
      </c>
      <c r="W22" s="2">
        <f t="shared" si="4"/>
        <v>2704.4799750842317</v>
      </c>
      <c r="X22" s="2">
        <v>-11.446999999999999</v>
      </c>
      <c r="Y22" s="2">
        <f t="shared" si="5"/>
        <v>5966.4799750842321</v>
      </c>
      <c r="Z22" s="2">
        <f t="shared" si="6"/>
        <v>35348.508000000002</v>
      </c>
      <c r="AA22">
        <f t="shared" si="7"/>
        <v>4175.62</v>
      </c>
      <c r="AB22">
        <f t="shared" si="8"/>
        <v>3296</v>
      </c>
      <c r="AE22">
        <f>(X191-AX17)/AX17*100</f>
        <v>67.513812154696126</v>
      </c>
      <c r="AF22">
        <f>(AY17-Y191)/AY17*100</f>
        <v>24.302727749334604</v>
      </c>
    </row>
    <row r="23" spans="1:51" x14ac:dyDescent="0.25">
      <c r="A23" s="2">
        <v>14182</v>
      </c>
      <c r="B23" s="2">
        <v>10.5774730826306</v>
      </c>
      <c r="C23" s="2">
        <v>23.86</v>
      </c>
      <c r="D23" s="2">
        <f t="shared" si="0"/>
        <v>44.36</v>
      </c>
      <c r="E23" s="2">
        <v>2.0499999999999998</v>
      </c>
      <c r="F23" s="2">
        <v>22.31</v>
      </c>
      <c r="G23" s="2">
        <v>0</v>
      </c>
      <c r="H23" s="2">
        <v>0</v>
      </c>
      <c r="I23" s="2">
        <v>0</v>
      </c>
      <c r="J23" s="2">
        <v>0</v>
      </c>
      <c r="K23" s="2">
        <v>15.472526917369301</v>
      </c>
      <c r="L23" s="2">
        <v>22.103609881956199</v>
      </c>
      <c r="M23" s="2">
        <v>0</v>
      </c>
      <c r="N23" s="2">
        <v>0</v>
      </c>
      <c r="O23" s="2">
        <v>1194</v>
      </c>
      <c r="P23" s="2">
        <v>-933</v>
      </c>
      <c r="Q23" s="2">
        <v>311</v>
      </c>
      <c r="R23" s="2">
        <v>884</v>
      </c>
      <c r="S23" s="2">
        <v>2066</v>
      </c>
      <c r="T23" s="2">
        <f t="shared" si="1"/>
        <v>2254.5789118378266</v>
      </c>
      <c r="U23" s="2">
        <f t="shared" si="2"/>
        <v>308.44262997055813</v>
      </c>
      <c r="V23" s="2">
        <f t="shared" si="3"/>
        <v>135.02551052479348</v>
      </c>
      <c r="W23" s="2">
        <f t="shared" si="4"/>
        <v>2698.0470523331783</v>
      </c>
      <c r="X23" s="2">
        <v>-11.411</v>
      </c>
      <c r="Y23" s="2">
        <f t="shared" si="5"/>
        <v>5959.0470523331787</v>
      </c>
      <c r="Z23" s="2">
        <f t="shared" si="6"/>
        <v>35221.212</v>
      </c>
      <c r="AA23">
        <f t="shared" si="7"/>
        <v>4191.8360000000002</v>
      </c>
      <c r="AB23">
        <f t="shared" si="8"/>
        <v>3308.8</v>
      </c>
    </row>
    <row r="24" spans="1:51" x14ac:dyDescent="0.25">
      <c r="A24" s="2">
        <v>14157</v>
      </c>
      <c r="B24" s="2">
        <v>10.538277006977401</v>
      </c>
      <c r="C24" s="2">
        <v>23.82</v>
      </c>
      <c r="D24" s="2">
        <f t="shared" si="0"/>
        <v>44.32</v>
      </c>
      <c r="E24" s="2">
        <v>2.04</v>
      </c>
      <c r="F24" s="2">
        <v>22.27</v>
      </c>
      <c r="G24" s="2">
        <v>0</v>
      </c>
      <c r="H24" s="2">
        <v>0</v>
      </c>
      <c r="I24" s="2">
        <v>0</v>
      </c>
      <c r="J24" s="2">
        <v>0</v>
      </c>
      <c r="K24" s="2">
        <v>15.5117229930225</v>
      </c>
      <c r="L24" s="2">
        <v>22.1596042757464</v>
      </c>
      <c r="M24" s="2">
        <v>0</v>
      </c>
      <c r="N24" s="2">
        <v>0</v>
      </c>
      <c r="O24" s="2">
        <v>1197</v>
      </c>
      <c r="P24" s="2">
        <v>-933</v>
      </c>
      <c r="Q24" s="2">
        <v>315</v>
      </c>
      <c r="R24" s="2">
        <v>884</v>
      </c>
      <c r="S24" s="2">
        <v>2065</v>
      </c>
      <c r="T24" s="2">
        <f t="shared" si="1"/>
        <v>2248.212922138714</v>
      </c>
      <c r="U24" s="2">
        <f t="shared" si="2"/>
        <v>307.2494283072291</v>
      </c>
      <c r="V24" s="2">
        <f t="shared" si="3"/>
        <v>134.50316812431072</v>
      </c>
      <c r="W24" s="2">
        <f t="shared" si="4"/>
        <v>2689.9655185702541</v>
      </c>
      <c r="X24" s="2">
        <v>-11.394</v>
      </c>
      <c r="Y24" s="2">
        <f t="shared" si="5"/>
        <v>5953.9655185702541</v>
      </c>
      <c r="Z24" s="2">
        <f t="shared" si="6"/>
        <v>35121.762000000002</v>
      </c>
      <c r="AA24">
        <f t="shared" si="7"/>
        <v>4175.62</v>
      </c>
      <c r="AB24">
        <f t="shared" si="8"/>
        <v>3296</v>
      </c>
    </row>
    <row r="25" spans="1:51" x14ac:dyDescent="0.25">
      <c r="A25" s="2">
        <v>14104</v>
      </c>
      <c r="B25" s="2">
        <v>10.5106517117145</v>
      </c>
      <c r="C25" s="2">
        <v>23.73</v>
      </c>
      <c r="D25" s="2">
        <f t="shared" si="0"/>
        <v>44.230000000000004</v>
      </c>
      <c r="E25" s="2">
        <v>2.0499999999999998</v>
      </c>
      <c r="F25" s="2">
        <v>22.2</v>
      </c>
      <c r="G25" s="2">
        <v>0</v>
      </c>
      <c r="H25" s="2">
        <v>0</v>
      </c>
      <c r="I25" s="2">
        <v>0</v>
      </c>
      <c r="J25" s="2">
        <v>0</v>
      </c>
      <c r="K25" s="2">
        <v>15.539348288285399</v>
      </c>
      <c r="L25" s="2">
        <v>22.199068983264901</v>
      </c>
      <c r="M25" s="2">
        <v>0</v>
      </c>
      <c r="N25" s="2">
        <v>0</v>
      </c>
      <c r="O25" s="2">
        <v>1199</v>
      </c>
      <c r="P25" s="2">
        <v>-930</v>
      </c>
      <c r="Q25" s="2">
        <v>320</v>
      </c>
      <c r="R25" s="2">
        <v>883</v>
      </c>
      <c r="S25" s="2">
        <v>2065</v>
      </c>
      <c r="T25" s="2">
        <f t="shared" si="1"/>
        <v>2234.7170239765946</v>
      </c>
      <c r="U25" s="2">
        <f t="shared" si="2"/>
        <v>306.35452705973239</v>
      </c>
      <c r="V25" s="2">
        <f t="shared" si="3"/>
        <v>134.11141132394866</v>
      </c>
      <c r="W25" s="2">
        <f t="shared" si="4"/>
        <v>2675.1829623602757</v>
      </c>
      <c r="X25" s="2">
        <v>-11.349</v>
      </c>
      <c r="Y25" s="2">
        <f t="shared" si="5"/>
        <v>5943.1829623602753</v>
      </c>
      <c r="Z25" s="2">
        <f t="shared" si="6"/>
        <v>34910.928</v>
      </c>
      <c r="AA25">
        <f t="shared" si="7"/>
        <v>4163.4580000000005</v>
      </c>
      <c r="AB25">
        <f t="shared" si="8"/>
        <v>3286.4</v>
      </c>
    </row>
    <row r="26" spans="1:51" x14ac:dyDescent="0.25">
      <c r="A26" s="2">
        <v>14054</v>
      </c>
      <c r="B26" s="2">
        <v>10.5374215881483</v>
      </c>
      <c r="C26" s="2">
        <v>23.65</v>
      </c>
      <c r="D26" s="2">
        <f t="shared" si="0"/>
        <v>44.15</v>
      </c>
      <c r="E26" s="2">
        <v>2.06</v>
      </c>
      <c r="F26" s="2">
        <v>22.12</v>
      </c>
      <c r="G26" s="2">
        <v>0</v>
      </c>
      <c r="H26" s="2">
        <v>0</v>
      </c>
      <c r="I26" s="2">
        <v>0</v>
      </c>
      <c r="J26" s="2">
        <v>0</v>
      </c>
      <c r="K26" s="2">
        <v>15.512578411851599</v>
      </c>
      <c r="L26" s="2">
        <v>22.160826302645201</v>
      </c>
      <c r="M26" s="2">
        <v>0</v>
      </c>
      <c r="N26" s="2">
        <v>0</v>
      </c>
      <c r="O26" s="2">
        <v>1197</v>
      </c>
      <c r="P26" s="2">
        <v>-926</v>
      </c>
      <c r="Q26" s="2">
        <v>322</v>
      </c>
      <c r="R26" s="2">
        <v>881</v>
      </c>
      <c r="S26" s="2">
        <v>2065</v>
      </c>
      <c r="T26" s="2">
        <f t="shared" si="1"/>
        <v>2221.9850445783686</v>
      </c>
      <c r="U26" s="2">
        <f t="shared" si="2"/>
        <v>307.2494283072291</v>
      </c>
      <c r="V26" s="2">
        <f t="shared" si="3"/>
        <v>134.50316812431072</v>
      </c>
      <c r="W26" s="2">
        <f t="shared" si="4"/>
        <v>2663.7376410099087</v>
      </c>
      <c r="X26" s="2">
        <v>-11.297000000000001</v>
      </c>
      <c r="Y26" s="2">
        <f t="shared" si="5"/>
        <v>5931.7376410099087</v>
      </c>
      <c r="Z26" s="2">
        <f t="shared" si="6"/>
        <v>34712.027999999998</v>
      </c>
      <c r="AA26">
        <f t="shared" si="7"/>
        <v>4175.62</v>
      </c>
      <c r="AB26">
        <f t="shared" si="8"/>
        <v>3296</v>
      </c>
    </row>
    <row r="27" spans="1:51" x14ac:dyDescent="0.25">
      <c r="A27" s="2">
        <v>13959</v>
      </c>
      <c r="B27" s="2">
        <v>10.508385922159</v>
      </c>
      <c r="C27" s="2">
        <v>23.49</v>
      </c>
      <c r="D27" s="2">
        <f t="shared" si="0"/>
        <v>43.989999999999995</v>
      </c>
      <c r="E27" s="2">
        <v>2.08</v>
      </c>
      <c r="F27" s="2">
        <v>21.98</v>
      </c>
      <c r="G27" s="2">
        <v>0</v>
      </c>
      <c r="H27" s="2">
        <v>0</v>
      </c>
      <c r="I27" s="2">
        <v>1.61407784096923E-3</v>
      </c>
      <c r="J27" s="2">
        <v>1.7934198232991401E-3</v>
      </c>
      <c r="K27" s="2">
        <v>15.54</v>
      </c>
      <c r="L27" s="2">
        <v>22.2</v>
      </c>
      <c r="M27" s="2">
        <v>0</v>
      </c>
      <c r="N27" s="2">
        <v>0</v>
      </c>
      <c r="O27" s="2">
        <v>1199</v>
      </c>
      <c r="P27" s="2">
        <v>-921</v>
      </c>
      <c r="Q27" s="2">
        <v>329</v>
      </c>
      <c r="R27" s="2">
        <v>879</v>
      </c>
      <c r="S27" s="2">
        <v>2065</v>
      </c>
      <c r="T27" s="2">
        <f t="shared" si="1"/>
        <v>2197.7942837217397</v>
      </c>
      <c r="U27" s="2">
        <f t="shared" si="2"/>
        <v>306.35452705973239</v>
      </c>
      <c r="V27" s="2">
        <f t="shared" si="3"/>
        <v>134.11141132394866</v>
      </c>
      <c r="W27" s="2">
        <f t="shared" si="4"/>
        <v>2638.2602221054208</v>
      </c>
      <c r="X27" s="2">
        <v>-11.211</v>
      </c>
      <c r="Y27" s="2">
        <f t="shared" si="5"/>
        <v>5911.2602221054203</v>
      </c>
      <c r="Z27" s="2">
        <f t="shared" si="6"/>
        <v>34334.118000000002</v>
      </c>
      <c r="AA27">
        <f t="shared" si="7"/>
        <v>4163.4580000000005</v>
      </c>
      <c r="AB27">
        <f t="shared" si="8"/>
        <v>3286.4</v>
      </c>
    </row>
    <row r="28" spans="1:51" x14ac:dyDescent="0.25">
      <c r="A28" s="2">
        <v>13937</v>
      </c>
      <c r="B28" s="2">
        <v>10.512347332933601</v>
      </c>
      <c r="C28" s="2">
        <v>23.45</v>
      </c>
      <c r="D28" s="2">
        <f t="shared" si="0"/>
        <v>43.95</v>
      </c>
      <c r="E28" s="2">
        <v>2.08</v>
      </c>
      <c r="F28" s="2">
        <v>21.95</v>
      </c>
      <c r="G28" s="2">
        <v>0</v>
      </c>
      <c r="H28" s="2">
        <v>0</v>
      </c>
      <c r="I28" s="2">
        <v>0</v>
      </c>
      <c r="J28" s="2">
        <v>0</v>
      </c>
      <c r="K28" s="2">
        <v>15.5376526670663</v>
      </c>
      <c r="L28" s="2">
        <v>22.196646667237601</v>
      </c>
      <c r="M28" s="2">
        <v>0</v>
      </c>
      <c r="N28" s="2">
        <v>0</v>
      </c>
      <c r="O28" s="2">
        <v>1199</v>
      </c>
      <c r="P28" s="2">
        <v>-920</v>
      </c>
      <c r="Q28" s="2">
        <v>330</v>
      </c>
      <c r="R28" s="2">
        <v>878</v>
      </c>
      <c r="S28" s="2">
        <v>2065</v>
      </c>
      <c r="T28" s="2">
        <f t="shared" si="1"/>
        <v>2192.1922127865205</v>
      </c>
      <c r="U28" s="2">
        <f t="shared" si="2"/>
        <v>306.35452705973239</v>
      </c>
      <c r="V28" s="2">
        <f t="shared" si="3"/>
        <v>134.11141132394866</v>
      </c>
      <c r="W28" s="2">
        <f t="shared" si="4"/>
        <v>2632.6581511702016</v>
      </c>
      <c r="X28" s="2">
        <v>-11.19</v>
      </c>
      <c r="Y28" s="2">
        <f t="shared" si="5"/>
        <v>5905.6581511702016</v>
      </c>
      <c r="Z28" s="2">
        <f t="shared" si="6"/>
        <v>34246.601999999999</v>
      </c>
      <c r="AA28">
        <f t="shared" si="7"/>
        <v>4163.4580000000005</v>
      </c>
      <c r="AB28">
        <f t="shared" si="8"/>
        <v>3286.4</v>
      </c>
    </row>
    <row r="29" spans="1:51" x14ac:dyDescent="0.25">
      <c r="A29" s="2">
        <v>13867</v>
      </c>
      <c r="B29" s="2">
        <v>10.5195984200732</v>
      </c>
      <c r="C29" s="2">
        <v>23.33</v>
      </c>
      <c r="D29" s="2">
        <f t="shared" si="0"/>
        <v>43.83</v>
      </c>
      <c r="E29" s="2">
        <v>2.1</v>
      </c>
      <c r="F29" s="2">
        <v>21.84</v>
      </c>
      <c r="G29" s="2">
        <v>0</v>
      </c>
      <c r="H29" s="2">
        <v>0</v>
      </c>
      <c r="I29" s="2">
        <v>0</v>
      </c>
      <c r="J29" s="2">
        <v>0</v>
      </c>
      <c r="K29" s="2">
        <v>15.5304015799267</v>
      </c>
      <c r="L29" s="2">
        <v>22.1862879713239</v>
      </c>
      <c r="M29" s="2">
        <v>0</v>
      </c>
      <c r="N29" s="2">
        <v>0</v>
      </c>
      <c r="O29" s="2">
        <v>1198</v>
      </c>
      <c r="P29" s="2">
        <v>-915</v>
      </c>
      <c r="Q29" s="2">
        <v>334</v>
      </c>
      <c r="R29" s="2">
        <v>877</v>
      </c>
      <c r="S29" s="2">
        <v>2065</v>
      </c>
      <c r="T29" s="2">
        <f t="shared" si="1"/>
        <v>2174.3674416290041</v>
      </c>
      <c r="U29" s="2">
        <f t="shared" si="2"/>
        <v>306.65282747556466</v>
      </c>
      <c r="V29" s="2">
        <f t="shared" si="3"/>
        <v>134.24199692406933</v>
      </c>
      <c r="W29" s="2">
        <f t="shared" si="4"/>
        <v>2615.2622660286379</v>
      </c>
      <c r="X29" s="2">
        <v>-11.122</v>
      </c>
      <c r="Y29" s="2">
        <f t="shared" si="5"/>
        <v>5891.2622660286379</v>
      </c>
      <c r="Z29" s="2">
        <f t="shared" si="6"/>
        <v>33968.142</v>
      </c>
      <c r="AA29">
        <f t="shared" si="7"/>
        <v>4167.5120000000006</v>
      </c>
      <c r="AB29">
        <f t="shared" si="8"/>
        <v>3289.6000000000004</v>
      </c>
    </row>
    <row r="30" spans="1:51" x14ac:dyDescent="0.25">
      <c r="A30" s="2">
        <v>13802</v>
      </c>
      <c r="B30" s="2">
        <v>10.508623209900801</v>
      </c>
      <c r="C30" s="2">
        <v>23.22</v>
      </c>
      <c r="D30" s="2">
        <f t="shared" si="0"/>
        <v>43.72</v>
      </c>
      <c r="E30" s="2">
        <v>2.11</v>
      </c>
      <c r="F30" s="2">
        <v>21.75</v>
      </c>
      <c r="G30" s="2">
        <v>0</v>
      </c>
      <c r="H30" s="2">
        <v>0</v>
      </c>
      <c r="I30" s="2">
        <v>1.3767900991386E-3</v>
      </c>
      <c r="J30" s="2">
        <v>1.52976677682066E-3</v>
      </c>
      <c r="K30" s="2">
        <v>15.54</v>
      </c>
      <c r="L30" s="2">
        <v>22.2</v>
      </c>
      <c r="M30" s="2">
        <v>0</v>
      </c>
      <c r="N30" s="2">
        <v>0</v>
      </c>
      <c r="O30" s="2">
        <v>1199</v>
      </c>
      <c r="P30" s="2">
        <v>-912</v>
      </c>
      <c r="Q30" s="2">
        <v>339</v>
      </c>
      <c r="R30" s="2">
        <v>875</v>
      </c>
      <c r="S30" s="2">
        <v>2065</v>
      </c>
      <c r="T30" s="2">
        <f t="shared" si="1"/>
        <v>2157.8158684113109</v>
      </c>
      <c r="U30" s="2">
        <f t="shared" si="2"/>
        <v>306.35452705973239</v>
      </c>
      <c r="V30" s="2">
        <f t="shared" si="3"/>
        <v>134.11141132394866</v>
      </c>
      <c r="W30" s="2">
        <f t="shared" si="4"/>
        <v>2598.281806794992</v>
      </c>
      <c r="X30" s="2">
        <v>-11.063000000000001</v>
      </c>
      <c r="Y30" s="2">
        <f t="shared" si="5"/>
        <v>5877.281806794992</v>
      </c>
      <c r="Z30" s="2">
        <f t="shared" si="6"/>
        <v>33709.572</v>
      </c>
      <c r="AA30">
        <f t="shared" si="7"/>
        <v>4163.4580000000005</v>
      </c>
      <c r="AB30">
        <f t="shared" si="8"/>
        <v>3286.4</v>
      </c>
    </row>
    <row r="31" spans="1:51" x14ac:dyDescent="0.25">
      <c r="A31" s="2">
        <v>13781</v>
      </c>
      <c r="B31" s="2">
        <v>10.508385922159</v>
      </c>
      <c r="C31" s="2">
        <v>23.19</v>
      </c>
      <c r="D31" s="2">
        <f t="shared" si="0"/>
        <v>43.69</v>
      </c>
      <c r="E31" s="2">
        <v>2.11</v>
      </c>
      <c r="F31" s="2">
        <v>21.72</v>
      </c>
      <c r="G31" s="2">
        <v>0</v>
      </c>
      <c r="H31" s="2">
        <v>0</v>
      </c>
      <c r="I31" s="2">
        <v>1.61407784096923E-3</v>
      </c>
      <c r="J31" s="2">
        <v>1.7934198232991401E-3</v>
      </c>
      <c r="K31" s="2">
        <v>15.54</v>
      </c>
      <c r="L31" s="2">
        <v>22.2</v>
      </c>
      <c r="M31" s="2">
        <v>0</v>
      </c>
      <c r="N31" s="2">
        <v>0</v>
      </c>
      <c r="O31" s="2">
        <v>1199</v>
      </c>
      <c r="P31" s="2">
        <v>-910</v>
      </c>
      <c r="Q31" s="2">
        <v>340</v>
      </c>
      <c r="R31" s="2">
        <v>875</v>
      </c>
      <c r="S31" s="2">
        <v>2065</v>
      </c>
      <c r="T31" s="2">
        <f t="shared" si="1"/>
        <v>2152.4684370640557</v>
      </c>
      <c r="U31" s="2">
        <f t="shared" si="2"/>
        <v>306.35452705973239</v>
      </c>
      <c r="V31" s="2">
        <f t="shared" si="3"/>
        <v>134.11141132394866</v>
      </c>
      <c r="W31" s="2">
        <f t="shared" si="4"/>
        <v>2592.9343754477368</v>
      </c>
      <c r="X31" s="2">
        <v>-11.042999999999999</v>
      </c>
      <c r="Y31" s="2">
        <f t="shared" si="5"/>
        <v>5872.9343754477368</v>
      </c>
      <c r="Z31" s="2">
        <f t="shared" si="6"/>
        <v>33626.034</v>
      </c>
      <c r="AA31">
        <f t="shared" si="7"/>
        <v>4163.4580000000005</v>
      </c>
      <c r="AB31">
        <f t="shared" si="8"/>
        <v>3286.4</v>
      </c>
    </row>
    <row r="32" spans="1:51" x14ac:dyDescent="0.25">
      <c r="A32" s="2">
        <v>13751</v>
      </c>
      <c r="B32" s="2">
        <v>10.509887609315401</v>
      </c>
      <c r="C32" s="2">
        <v>23.14</v>
      </c>
      <c r="D32" s="2">
        <f t="shared" si="0"/>
        <v>43.64</v>
      </c>
      <c r="E32" s="2">
        <v>2.12</v>
      </c>
      <c r="F32" s="2">
        <v>21.67</v>
      </c>
      <c r="G32" s="2">
        <v>0</v>
      </c>
      <c r="H32" s="2">
        <v>0</v>
      </c>
      <c r="I32" s="2">
        <v>1.12390684531504E-4</v>
      </c>
      <c r="J32" s="2">
        <v>1.2487853836833801E-4</v>
      </c>
      <c r="K32" s="2">
        <v>15.54</v>
      </c>
      <c r="L32" s="2">
        <v>22.2</v>
      </c>
      <c r="M32" s="2">
        <v>0</v>
      </c>
      <c r="N32" s="2">
        <v>0</v>
      </c>
      <c r="O32" s="2">
        <v>1199</v>
      </c>
      <c r="P32" s="2">
        <v>-908</v>
      </c>
      <c r="Q32" s="2">
        <v>342</v>
      </c>
      <c r="R32" s="2">
        <v>874</v>
      </c>
      <c r="S32" s="2">
        <v>2065</v>
      </c>
      <c r="T32" s="2">
        <f t="shared" si="1"/>
        <v>2144.8292494251205</v>
      </c>
      <c r="U32" s="2">
        <f t="shared" si="2"/>
        <v>306.35452705973239</v>
      </c>
      <c r="V32" s="2">
        <f t="shared" si="3"/>
        <v>134.11141132394866</v>
      </c>
      <c r="W32" s="2">
        <f t="shared" si="4"/>
        <v>2585.2951878088015</v>
      </c>
      <c r="X32" s="2">
        <v>-11.013999999999999</v>
      </c>
      <c r="Y32" s="2">
        <f t="shared" si="5"/>
        <v>5866.2951878088015</v>
      </c>
      <c r="Z32" s="2">
        <f t="shared" si="6"/>
        <v>33506.694000000003</v>
      </c>
      <c r="AA32">
        <f t="shared" si="7"/>
        <v>4163.4580000000005</v>
      </c>
      <c r="AB32">
        <f t="shared" si="8"/>
        <v>3286.4</v>
      </c>
    </row>
    <row r="33" spans="1:28" x14ac:dyDescent="0.25">
      <c r="A33" s="2">
        <v>13674</v>
      </c>
      <c r="B33" s="2">
        <v>10.447314591259801</v>
      </c>
      <c r="C33" s="2">
        <v>23.01</v>
      </c>
      <c r="D33" s="2">
        <f t="shared" si="0"/>
        <v>43.510000000000005</v>
      </c>
      <c r="E33" s="2">
        <v>2.12</v>
      </c>
      <c r="F33" s="2">
        <v>21.56</v>
      </c>
      <c r="G33" s="2">
        <v>0</v>
      </c>
      <c r="H33" s="2">
        <v>0</v>
      </c>
      <c r="I33" s="2">
        <v>6.2685408740101395E-2</v>
      </c>
      <c r="J33" s="2">
        <v>6.9650454155668201E-2</v>
      </c>
      <c r="K33" s="2">
        <v>15.54</v>
      </c>
      <c r="L33" s="2">
        <v>22.2</v>
      </c>
      <c r="M33" s="2">
        <v>0</v>
      </c>
      <c r="N33" s="2">
        <v>17</v>
      </c>
      <c r="O33" s="2">
        <v>1199</v>
      </c>
      <c r="P33" s="2">
        <v>-905</v>
      </c>
      <c r="Q33" s="2">
        <v>362</v>
      </c>
      <c r="R33" s="2">
        <v>872</v>
      </c>
      <c r="S33" s="2">
        <v>2064</v>
      </c>
      <c r="T33" s="2">
        <f t="shared" si="1"/>
        <v>2125.2220011518525</v>
      </c>
      <c r="U33" s="2">
        <f t="shared" si="2"/>
        <v>304.56472456473875</v>
      </c>
      <c r="V33" s="2">
        <f t="shared" si="3"/>
        <v>133.32789772322451</v>
      </c>
      <c r="W33" s="2">
        <f t="shared" si="4"/>
        <v>2563.1146234398157</v>
      </c>
      <c r="X33" s="2">
        <v>-10.938000000000001</v>
      </c>
      <c r="Y33" s="2">
        <f t="shared" si="5"/>
        <v>5861.1146234398157</v>
      </c>
      <c r="Z33" s="2">
        <f t="shared" si="6"/>
        <v>33200.387999999999</v>
      </c>
      <c r="AA33">
        <f t="shared" si="7"/>
        <v>4139.134</v>
      </c>
      <c r="AB33">
        <f t="shared" si="8"/>
        <v>3267.2000000000003</v>
      </c>
    </row>
    <row r="34" spans="1:28" x14ac:dyDescent="0.25">
      <c r="A34" s="2">
        <v>13585</v>
      </c>
      <c r="B34" s="2">
        <v>10.5122270150184</v>
      </c>
      <c r="C34" s="2">
        <v>22.86</v>
      </c>
      <c r="D34" s="2">
        <f t="shared" si="0"/>
        <v>43.36</v>
      </c>
      <c r="E34" s="2">
        <v>2.15</v>
      </c>
      <c r="F34" s="2">
        <v>21.42</v>
      </c>
      <c r="G34" s="2">
        <v>0</v>
      </c>
      <c r="H34" s="2">
        <v>0</v>
      </c>
      <c r="I34" s="2">
        <v>0</v>
      </c>
      <c r="J34" s="2">
        <v>0</v>
      </c>
      <c r="K34" s="2">
        <v>15.537772984981499</v>
      </c>
      <c r="L34" s="2">
        <v>22.196818549973599</v>
      </c>
      <c r="M34" s="2">
        <v>0</v>
      </c>
      <c r="N34" s="2">
        <v>0</v>
      </c>
      <c r="O34" s="2">
        <v>1199</v>
      </c>
      <c r="P34" s="2">
        <v>-898</v>
      </c>
      <c r="Q34" s="2">
        <v>352</v>
      </c>
      <c r="R34" s="2">
        <v>870</v>
      </c>
      <c r="S34" s="2">
        <v>2065</v>
      </c>
      <c r="T34" s="2">
        <f t="shared" si="1"/>
        <v>2102.5590778230107</v>
      </c>
      <c r="U34" s="2">
        <f t="shared" si="2"/>
        <v>306.35452705973239</v>
      </c>
      <c r="V34" s="2">
        <f t="shared" si="3"/>
        <v>134.11141132394866</v>
      </c>
      <c r="W34" s="2">
        <f t="shared" si="4"/>
        <v>2543.0250162066918</v>
      </c>
      <c r="X34" s="2">
        <v>-10.856999999999999</v>
      </c>
      <c r="Y34" s="2">
        <f t="shared" si="5"/>
        <v>5830.0250162066914</v>
      </c>
      <c r="Z34" s="2">
        <f t="shared" si="6"/>
        <v>32846.346000000005</v>
      </c>
      <c r="AA34">
        <f t="shared" si="7"/>
        <v>4163.4580000000005</v>
      </c>
      <c r="AB34">
        <f t="shared" si="8"/>
        <v>3286.4</v>
      </c>
    </row>
    <row r="35" spans="1:28" x14ac:dyDescent="0.25">
      <c r="A35" s="2">
        <v>13532</v>
      </c>
      <c r="B35" s="2">
        <v>10.533932228926901</v>
      </c>
      <c r="C35" s="2">
        <v>22.77</v>
      </c>
      <c r="D35" s="2">
        <f t="shared" si="0"/>
        <v>43.269999999999996</v>
      </c>
      <c r="E35" s="2">
        <v>2.16</v>
      </c>
      <c r="F35" s="2">
        <v>21.34</v>
      </c>
      <c r="G35" s="2">
        <v>0</v>
      </c>
      <c r="H35" s="2">
        <v>0</v>
      </c>
      <c r="I35" s="2">
        <v>0</v>
      </c>
      <c r="J35" s="2">
        <v>0</v>
      </c>
      <c r="K35" s="2">
        <v>15.516067771073001</v>
      </c>
      <c r="L35" s="2">
        <v>22.165811101532899</v>
      </c>
      <c r="M35" s="2">
        <v>0</v>
      </c>
      <c r="N35" s="2">
        <v>0</v>
      </c>
      <c r="O35" s="2">
        <v>1197</v>
      </c>
      <c r="P35" s="2">
        <v>-894</v>
      </c>
      <c r="Q35" s="2">
        <v>354</v>
      </c>
      <c r="R35" s="2">
        <v>868</v>
      </c>
      <c r="S35" s="2">
        <v>2065</v>
      </c>
      <c r="T35" s="2">
        <f t="shared" si="1"/>
        <v>2089.0631796608914</v>
      </c>
      <c r="U35" s="2">
        <f t="shared" si="2"/>
        <v>307.2494283072291</v>
      </c>
      <c r="V35" s="2">
        <f t="shared" si="3"/>
        <v>134.50316812431072</v>
      </c>
      <c r="W35" s="2">
        <f t="shared" si="4"/>
        <v>2530.8157760924314</v>
      </c>
      <c r="X35" s="2">
        <v>-10.803000000000001</v>
      </c>
      <c r="Y35" s="2">
        <f t="shared" si="5"/>
        <v>5817.8157760924314</v>
      </c>
      <c r="Z35" s="2">
        <f t="shared" si="6"/>
        <v>32635.512000000002</v>
      </c>
      <c r="AA35">
        <f t="shared" si="7"/>
        <v>4175.62</v>
      </c>
      <c r="AB35">
        <f t="shared" si="8"/>
        <v>3296</v>
      </c>
    </row>
    <row r="36" spans="1:28" x14ac:dyDescent="0.25">
      <c r="A36" s="2">
        <v>13480</v>
      </c>
      <c r="B36" s="2">
        <v>10.508623209900801</v>
      </c>
      <c r="C36" s="2">
        <v>22.68</v>
      </c>
      <c r="D36" s="2">
        <f t="shared" si="0"/>
        <v>43.18</v>
      </c>
      <c r="E36" s="2">
        <v>2.17</v>
      </c>
      <c r="F36" s="2">
        <v>21.27</v>
      </c>
      <c r="G36" s="2">
        <v>0</v>
      </c>
      <c r="H36" s="2">
        <v>0</v>
      </c>
      <c r="I36" s="2">
        <v>1.3767900991386E-3</v>
      </c>
      <c r="J36" s="2">
        <v>1.52976677682066E-3</v>
      </c>
      <c r="K36" s="2">
        <v>15.54</v>
      </c>
      <c r="L36" s="2">
        <v>22.2</v>
      </c>
      <c r="M36" s="2">
        <v>0</v>
      </c>
      <c r="N36" s="2">
        <v>0</v>
      </c>
      <c r="O36" s="2">
        <v>1199</v>
      </c>
      <c r="P36" s="2">
        <v>-891</v>
      </c>
      <c r="Q36" s="2">
        <v>359</v>
      </c>
      <c r="R36" s="2">
        <v>867</v>
      </c>
      <c r="S36" s="2">
        <v>2065</v>
      </c>
      <c r="T36" s="2">
        <f t="shared" si="1"/>
        <v>2075.8219210867364</v>
      </c>
      <c r="U36" s="2">
        <f t="shared" si="2"/>
        <v>306.35452705973239</v>
      </c>
      <c r="V36" s="2">
        <f t="shared" si="3"/>
        <v>134.11141132394866</v>
      </c>
      <c r="W36" s="2">
        <f t="shared" si="4"/>
        <v>2516.2878594704175</v>
      </c>
      <c r="X36" s="2">
        <v>-10.757</v>
      </c>
      <c r="Y36" s="2">
        <f t="shared" si="5"/>
        <v>5807.287859470418</v>
      </c>
      <c r="Z36" s="2">
        <f t="shared" si="6"/>
        <v>32428.656000000003</v>
      </c>
      <c r="AA36">
        <f t="shared" si="7"/>
        <v>4163.4580000000005</v>
      </c>
      <c r="AB36">
        <f t="shared" si="8"/>
        <v>3286.4</v>
      </c>
    </row>
    <row r="37" spans="1:28" x14ac:dyDescent="0.25">
      <c r="A37" s="2">
        <v>13409</v>
      </c>
      <c r="B37" s="2">
        <v>10.5377330622645</v>
      </c>
      <c r="C37" s="2">
        <v>22.56</v>
      </c>
      <c r="D37" s="2">
        <f t="shared" si="0"/>
        <v>43.06</v>
      </c>
      <c r="E37" s="2">
        <v>2.1800000000000002</v>
      </c>
      <c r="F37" s="2">
        <v>21.16</v>
      </c>
      <c r="G37" s="2">
        <v>0</v>
      </c>
      <c r="H37" s="2">
        <v>0</v>
      </c>
      <c r="I37" s="2">
        <v>0</v>
      </c>
      <c r="J37" s="2">
        <v>0</v>
      </c>
      <c r="K37" s="2">
        <v>15.512266937735401</v>
      </c>
      <c r="L37" s="2">
        <v>22.160381339622099</v>
      </c>
      <c r="M37" s="2">
        <v>0</v>
      </c>
      <c r="N37" s="2">
        <v>0</v>
      </c>
      <c r="O37" s="2">
        <v>1197</v>
      </c>
      <c r="P37" s="2">
        <v>-886</v>
      </c>
      <c r="Q37" s="2">
        <v>361</v>
      </c>
      <c r="R37" s="2">
        <v>865</v>
      </c>
      <c r="S37" s="2">
        <v>2065</v>
      </c>
      <c r="T37" s="2">
        <f t="shared" si="1"/>
        <v>2057.7425103412556</v>
      </c>
      <c r="U37" s="2">
        <f t="shared" si="2"/>
        <v>307.2494283072291</v>
      </c>
      <c r="V37" s="2">
        <f t="shared" si="3"/>
        <v>134.50316812431072</v>
      </c>
      <c r="W37" s="2">
        <f t="shared" si="4"/>
        <v>2499.4951067727957</v>
      </c>
      <c r="X37" s="2">
        <v>-10.685</v>
      </c>
      <c r="Y37" s="2">
        <f t="shared" si="5"/>
        <v>5790.4951067727961</v>
      </c>
      <c r="Z37" s="2">
        <f t="shared" si="6"/>
        <v>32146.218000000001</v>
      </c>
      <c r="AA37">
        <f t="shared" si="7"/>
        <v>4175.62</v>
      </c>
      <c r="AB37">
        <f t="shared" si="8"/>
        <v>3296</v>
      </c>
    </row>
    <row r="38" spans="1:28" x14ac:dyDescent="0.25">
      <c r="A38" s="2">
        <v>13345</v>
      </c>
      <c r="B38" s="2">
        <v>10.5035042772903</v>
      </c>
      <c r="C38" s="2">
        <v>22.45</v>
      </c>
      <c r="D38" s="2">
        <f t="shared" si="0"/>
        <v>42.95</v>
      </c>
      <c r="E38" s="2">
        <v>2.19</v>
      </c>
      <c r="F38" s="2">
        <v>21.07</v>
      </c>
      <c r="G38" s="2">
        <v>0</v>
      </c>
      <c r="H38" s="2">
        <v>0</v>
      </c>
      <c r="I38" s="2">
        <v>6.49572270960518E-3</v>
      </c>
      <c r="J38" s="2">
        <v>7.21746967733909E-3</v>
      </c>
      <c r="K38" s="2">
        <v>15.54</v>
      </c>
      <c r="L38" s="2">
        <v>22.2</v>
      </c>
      <c r="M38" s="2">
        <v>0</v>
      </c>
      <c r="N38" s="2">
        <v>2</v>
      </c>
      <c r="O38" s="2">
        <v>1199</v>
      </c>
      <c r="P38" s="2">
        <v>-883</v>
      </c>
      <c r="Q38" s="2">
        <v>369</v>
      </c>
      <c r="R38" s="2">
        <v>864</v>
      </c>
      <c r="S38" s="2">
        <v>2064</v>
      </c>
      <c r="T38" s="2">
        <f t="shared" si="1"/>
        <v>2041.4455767115269</v>
      </c>
      <c r="U38" s="2">
        <f t="shared" si="2"/>
        <v>306.35452705973239</v>
      </c>
      <c r="V38" s="2">
        <f t="shared" si="3"/>
        <v>134.11141132394866</v>
      </c>
      <c r="W38" s="2">
        <f t="shared" si="4"/>
        <v>2481.911515095208</v>
      </c>
      <c r="X38" s="2">
        <v>-10.629</v>
      </c>
      <c r="Y38" s="2">
        <f t="shared" si="5"/>
        <v>5778.9115150952075</v>
      </c>
      <c r="Z38" s="2">
        <f t="shared" si="6"/>
        <v>31891.626</v>
      </c>
      <c r="AA38">
        <f t="shared" si="7"/>
        <v>4163.4580000000005</v>
      </c>
      <c r="AB38">
        <f t="shared" si="8"/>
        <v>3286.4</v>
      </c>
    </row>
    <row r="39" spans="1:28" x14ac:dyDescent="0.25">
      <c r="A39" s="2">
        <v>13321</v>
      </c>
      <c r="B39" s="2">
        <v>10.5369212777846</v>
      </c>
      <c r="C39" s="2">
        <v>22.41</v>
      </c>
      <c r="D39" s="2">
        <f t="shared" si="0"/>
        <v>42.91</v>
      </c>
      <c r="E39" s="2">
        <v>2.2000000000000002</v>
      </c>
      <c r="F39" s="2">
        <v>21.02</v>
      </c>
      <c r="G39" s="2">
        <v>0</v>
      </c>
      <c r="H39" s="2">
        <v>0</v>
      </c>
      <c r="I39" s="2">
        <v>0</v>
      </c>
      <c r="J39" s="2">
        <v>0</v>
      </c>
      <c r="K39" s="2">
        <v>15.513078722215299</v>
      </c>
      <c r="L39" s="2">
        <v>22.161541031736199</v>
      </c>
      <c r="M39" s="2">
        <v>0</v>
      </c>
      <c r="N39" s="2">
        <v>0</v>
      </c>
      <c r="O39" s="2">
        <v>1197</v>
      </c>
      <c r="P39" s="2">
        <v>-881</v>
      </c>
      <c r="Q39" s="2">
        <v>367</v>
      </c>
      <c r="R39" s="2">
        <v>863</v>
      </c>
      <c r="S39" s="2">
        <v>2065</v>
      </c>
      <c r="T39" s="2">
        <f t="shared" si="1"/>
        <v>2035.3342266003783</v>
      </c>
      <c r="U39" s="2">
        <f t="shared" si="2"/>
        <v>307.2494283072291</v>
      </c>
      <c r="V39" s="2">
        <f t="shared" si="3"/>
        <v>134.50316812431072</v>
      </c>
      <c r="W39" s="2">
        <f t="shared" si="4"/>
        <v>2477.0868230319184</v>
      </c>
      <c r="X39" s="2">
        <v>-10.602</v>
      </c>
      <c r="Y39" s="2">
        <f t="shared" si="5"/>
        <v>5772.0868230319184</v>
      </c>
      <c r="Z39" s="2">
        <f t="shared" si="6"/>
        <v>31796.154000000002</v>
      </c>
      <c r="AA39">
        <f t="shared" si="7"/>
        <v>4175.62</v>
      </c>
      <c r="AB39">
        <f t="shared" si="8"/>
        <v>3296</v>
      </c>
    </row>
    <row r="40" spans="1:28" x14ac:dyDescent="0.25">
      <c r="A40" s="2">
        <v>13294</v>
      </c>
      <c r="B40" s="2">
        <v>10.513951554265301</v>
      </c>
      <c r="C40" s="2">
        <v>22.37</v>
      </c>
      <c r="D40" s="2">
        <f t="shared" si="0"/>
        <v>42.870000000000005</v>
      </c>
      <c r="E40" s="2">
        <v>2.2000000000000002</v>
      </c>
      <c r="F40" s="2">
        <v>20.99</v>
      </c>
      <c r="G40" s="2">
        <v>0</v>
      </c>
      <c r="H40" s="2">
        <v>0</v>
      </c>
      <c r="I40" s="2">
        <v>0</v>
      </c>
      <c r="J40" s="2">
        <v>0</v>
      </c>
      <c r="K40" s="2">
        <v>15.5360484457346</v>
      </c>
      <c r="L40" s="2">
        <v>22.194354922477999</v>
      </c>
      <c r="M40" s="2">
        <v>0</v>
      </c>
      <c r="N40" s="2">
        <v>0</v>
      </c>
      <c r="O40" s="2">
        <v>1198</v>
      </c>
      <c r="P40" s="2">
        <v>-880</v>
      </c>
      <c r="Q40" s="2">
        <v>370</v>
      </c>
      <c r="R40" s="2">
        <v>862</v>
      </c>
      <c r="S40" s="2">
        <v>2065</v>
      </c>
      <c r="T40" s="2">
        <f t="shared" si="1"/>
        <v>2028.4589577253366</v>
      </c>
      <c r="U40" s="2">
        <f t="shared" si="2"/>
        <v>306.65282747556466</v>
      </c>
      <c r="V40" s="2">
        <f t="shared" si="3"/>
        <v>134.24199692406933</v>
      </c>
      <c r="W40" s="2">
        <f t="shared" si="4"/>
        <v>2469.3537821249702</v>
      </c>
      <c r="X40" s="2">
        <v>-10.58</v>
      </c>
      <c r="Y40" s="2">
        <f t="shared" si="5"/>
        <v>5766.3537821249702</v>
      </c>
      <c r="Z40" s="2">
        <f t="shared" si="6"/>
        <v>31688.748000000003</v>
      </c>
      <c r="AA40">
        <f t="shared" si="7"/>
        <v>4167.5120000000006</v>
      </c>
      <c r="AB40">
        <f t="shared" si="8"/>
        <v>3289.6000000000004</v>
      </c>
    </row>
    <row r="41" spans="1:28" x14ac:dyDescent="0.25">
      <c r="A41" s="2">
        <v>13213</v>
      </c>
      <c r="B41" s="2">
        <v>10.5377330622645</v>
      </c>
      <c r="C41" s="2">
        <v>22.23</v>
      </c>
      <c r="D41" s="2">
        <f t="shared" si="0"/>
        <v>42.730000000000004</v>
      </c>
      <c r="E41" s="2">
        <v>2.2200000000000002</v>
      </c>
      <c r="F41" s="2">
        <v>20.86</v>
      </c>
      <c r="G41" s="2">
        <v>0</v>
      </c>
      <c r="H41" s="2">
        <v>0</v>
      </c>
      <c r="I41" s="2">
        <v>0</v>
      </c>
      <c r="J41" s="2">
        <v>0</v>
      </c>
      <c r="K41" s="2">
        <v>15.512266937735401</v>
      </c>
      <c r="L41" s="2">
        <v>22.160381339622099</v>
      </c>
      <c r="M41" s="2">
        <v>0</v>
      </c>
      <c r="N41" s="2">
        <v>0</v>
      </c>
      <c r="O41" s="2">
        <v>1197</v>
      </c>
      <c r="P41" s="2">
        <v>-874</v>
      </c>
      <c r="Q41" s="2">
        <v>374</v>
      </c>
      <c r="R41" s="2">
        <v>860</v>
      </c>
      <c r="S41" s="2">
        <v>2065</v>
      </c>
      <c r="T41" s="2">
        <f t="shared" si="1"/>
        <v>2007.8331511002104</v>
      </c>
      <c r="U41" s="2">
        <f t="shared" si="2"/>
        <v>307.2494283072291</v>
      </c>
      <c r="V41" s="2">
        <f t="shared" si="3"/>
        <v>134.50316812431072</v>
      </c>
      <c r="W41" s="2">
        <f t="shared" si="4"/>
        <v>2449.5857475317503</v>
      </c>
      <c r="X41" s="2">
        <v>-10.5</v>
      </c>
      <c r="Y41" s="2">
        <f t="shared" si="5"/>
        <v>5748.5857475317498</v>
      </c>
      <c r="Z41" s="2">
        <f t="shared" si="6"/>
        <v>31366.530000000002</v>
      </c>
      <c r="AA41">
        <f t="shared" si="7"/>
        <v>4175.62</v>
      </c>
      <c r="AB41">
        <f t="shared" si="8"/>
        <v>3296</v>
      </c>
    </row>
    <row r="42" spans="1:28" x14ac:dyDescent="0.25">
      <c r="A42" s="2">
        <v>13204</v>
      </c>
      <c r="B42" s="2">
        <v>10.512347332933601</v>
      </c>
      <c r="C42" s="2">
        <v>22.22</v>
      </c>
      <c r="D42" s="2">
        <f t="shared" si="0"/>
        <v>42.72</v>
      </c>
      <c r="E42" s="2">
        <v>2.2200000000000002</v>
      </c>
      <c r="F42" s="2">
        <v>20.85</v>
      </c>
      <c r="G42" s="2">
        <v>0</v>
      </c>
      <c r="H42" s="2">
        <v>0</v>
      </c>
      <c r="I42" s="2">
        <v>0</v>
      </c>
      <c r="J42" s="2">
        <v>0</v>
      </c>
      <c r="K42" s="2">
        <v>15.5376526670663</v>
      </c>
      <c r="L42" s="2">
        <v>22.196646667237601</v>
      </c>
      <c r="M42" s="2">
        <v>0</v>
      </c>
      <c r="N42" s="2">
        <v>0</v>
      </c>
      <c r="O42" s="2">
        <v>1199</v>
      </c>
      <c r="P42" s="2">
        <v>-874</v>
      </c>
      <c r="Q42" s="2">
        <v>376</v>
      </c>
      <c r="R42" s="2">
        <v>860</v>
      </c>
      <c r="S42" s="2">
        <v>2065</v>
      </c>
      <c r="T42" s="2">
        <f t="shared" si="1"/>
        <v>2005.5413948085302</v>
      </c>
      <c r="U42" s="2">
        <f t="shared" si="2"/>
        <v>306.35452705973239</v>
      </c>
      <c r="V42" s="2">
        <f t="shared" si="3"/>
        <v>134.11141132394866</v>
      </c>
      <c r="W42" s="2">
        <f t="shared" si="4"/>
        <v>2446.0073331922113</v>
      </c>
      <c r="X42" s="2">
        <v>-10.494999999999999</v>
      </c>
      <c r="Y42" s="2">
        <f t="shared" si="5"/>
        <v>5747.0073331922113</v>
      </c>
      <c r="Z42" s="2">
        <f t="shared" si="6"/>
        <v>31330.728000000003</v>
      </c>
      <c r="AA42">
        <f t="shared" si="7"/>
        <v>4163.4580000000005</v>
      </c>
      <c r="AB42">
        <f t="shared" si="8"/>
        <v>3286.4</v>
      </c>
    </row>
    <row r="43" spans="1:28" x14ac:dyDescent="0.25">
      <c r="A43" s="2">
        <v>13145</v>
      </c>
      <c r="B43" s="2">
        <v>10.676150946279099</v>
      </c>
      <c r="C43" s="2">
        <v>22.12</v>
      </c>
      <c r="D43" s="2">
        <f t="shared" si="0"/>
        <v>42.620000000000005</v>
      </c>
      <c r="E43" s="2">
        <v>2.2599999999999998</v>
      </c>
      <c r="F43" s="2">
        <v>20.74</v>
      </c>
      <c r="G43" s="2">
        <v>0</v>
      </c>
      <c r="H43" s="2">
        <v>0</v>
      </c>
      <c r="I43" s="2">
        <v>0</v>
      </c>
      <c r="J43" s="2">
        <v>0</v>
      </c>
      <c r="K43" s="2">
        <v>15.3738490537208</v>
      </c>
      <c r="L43" s="2">
        <v>21.962641505315499</v>
      </c>
      <c r="M43" s="2">
        <v>0</v>
      </c>
      <c r="N43" s="2">
        <v>0</v>
      </c>
      <c r="O43" s="2">
        <v>1186</v>
      </c>
      <c r="P43" s="2">
        <v>-867</v>
      </c>
      <c r="Q43" s="2">
        <v>370</v>
      </c>
      <c r="R43" s="2">
        <v>858</v>
      </c>
      <c r="S43" s="2">
        <v>2070</v>
      </c>
      <c r="T43" s="2">
        <f t="shared" si="1"/>
        <v>1990.5176591186234</v>
      </c>
      <c r="U43" s="2">
        <f t="shared" si="2"/>
        <v>311.12733371304853</v>
      </c>
      <c r="V43" s="2">
        <f t="shared" si="3"/>
        <v>136.20078092587968</v>
      </c>
      <c r="W43" s="2">
        <f t="shared" si="4"/>
        <v>2437.8457737575518</v>
      </c>
      <c r="X43" s="2">
        <v>-10.411</v>
      </c>
      <c r="Y43" s="2">
        <f t="shared" si="5"/>
        <v>5735.8457737575518</v>
      </c>
      <c r="Z43" s="2">
        <f t="shared" si="6"/>
        <v>31096.026000000002</v>
      </c>
      <c r="AA43">
        <f t="shared" si="7"/>
        <v>4228.3220000000001</v>
      </c>
      <c r="AB43">
        <f t="shared" si="8"/>
        <v>3337.6000000000004</v>
      </c>
    </row>
    <row r="44" spans="1:28" x14ac:dyDescent="0.25">
      <c r="A44" s="2">
        <v>13111</v>
      </c>
      <c r="B44" s="2">
        <v>10.512678620081299</v>
      </c>
      <c r="C44" s="2">
        <v>22.06</v>
      </c>
      <c r="D44" s="2">
        <f t="shared" si="0"/>
        <v>42.56</v>
      </c>
      <c r="E44" s="2">
        <v>2.2400000000000002</v>
      </c>
      <c r="F44" s="2">
        <v>20.72</v>
      </c>
      <c r="G44" s="2">
        <v>0</v>
      </c>
      <c r="H44" s="2">
        <v>0</v>
      </c>
      <c r="I44" s="2">
        <v>0</v>
      </c>
      <c r="J44" s="2">
        <v>0</v>
      </c>
      <c r="K44" s="2">
        <v>15.5373213799186</v>
      </c>
      <c r="L44" s="2">
        <v>22.196173399883701</v>
      </c>
      <c r="M44" s="2">
        <v>0</v>
      </c>
      <c r="N44" s="2">
        <v>0</v>
      </c>
      <c r="O44" s="2">
        <v>1199</v>
      </c>
      <c r="P44" s="2">
        <v>-868</v>
      </c>
      <c r="Q44" s="2">
        <v>382</v>
      </c>
      <c r="R44" s="2">
        <v>858</v>
      </c>
      <c r="S44" s="2">
        <v>2065</v>
      </c>
      <c r="T44" s="2">
        <f t="shared" si="1"/>
        <v>1981.8599131278302</v>
      </c>
      <c r="U44" s="2">
        <f t="shared" si="2"/>
        <v>306.35452705973239</v>
      </c>
      <c r="V44" s="2">
        <f t="shared" si="3"/>
        <v>134.11141132394866</v>
      </c>
      <c r="W44" s="2">
        <f t="shared" si="4"/>
        <v>2422.3258515115112</v>
      </c>
      <c r="X44" s="2">
        <v>-10.407</v>
      </c>
      <c r="Y44" s="2">
        <f t="shared" si="5"/>
        <v>5727.3258515115112</v>
      </c>
      <c r="Z44" s="2">
        <f t="shared" si="6"/>
        <v>30960.774000000001</v>
      </c>
      <c r="AA44">
        <f t="shared" si="7"/>
        <v>4163.4580000000005</v>
      </c>
      <c r="AB44">
        <f t="shared" si="8"/>
        <v>3286.4</v>
      </c>
    </row>
    <row r="45" spans="1:28" x14ac:dyDescent="0.25">
      <c r="A45" s="2">
        <v>13101</v>
      </c>
      <c r="B45" s="2">
        <v>10.541822570099599</v>
      </c>
      <c r="C45" s="2">
        <v>22.04</v>
      </c>
      <c r="D45" s="2">
        <f t="shared" si="0"/>
        <v>42.54</v>
      </c>
      <c r="E45" s="2">
        <v>2.2400000000000002</v>
      </c>
      <c r="F45" s="2">
        <v>20.7</v>
      </c>
      <c r="G45" s="2">
        <v>0</v>
      </c>
      <c r="H45" s="2">
        <v>0</v>
      </c>
      <c r="I45" s="2">
        <v>0</v>
      </c>
      <c r="J45" s="2">
        <v>0</v>
      </c>
      <c r="K45" s="2">
        <v>15.5081774299003</v>
      </c>
      <c r="L45" s="2">
        <v>22.154539185571899</v>
      </c>
      <c r="M45" s="2">
        <v>0</v>
      </c>
      <c r="N45" s="2">
        <v>0</v>
      </c>
      <c r="O45" s="2">
        <v>1196</v>
      </c>
      <c r="P45" s="2">
        <v>-867</v>
      </c>
      <c r="Q45" s="2">
        <v>381</v>
      </c>
      <c r="R45" s="2">
        <v>857</v>
      </c>
      <c r="S45" s="2">
        <v>2065</v>
      </c>
      <c r="T45" s="2">
        <f t="shared" si="1"/>
        <v>1979.3135172481848</v>
      </c>
      <c r="U45" s="2">
        <f t="shared" si="2"/>
        <v>307.2494283072291</v>
      </c>
      <c r="V45" s="2">
        <f t="shared" si="3"/>
        <v>134.50316812431072</v>
      </c>
      <c r="W45" s="2">
        <f t="shared" si="4"/>
        <v>2421.0661136797248</v>
      </c>
      <c r="X45" s="2">
        <v>-10.393000000000001</v>
      </c>
      <c r="Y45" s="2">
        <f t="shared" si="5"/>
        <v>5724.0661136797244</v>
      </c>
      <c r="Z45" s="2">
        <f t="shared" si="6"/>
        <v>30920.994000000002</v>
      </c>
      <c r="AA45">
        <f t="shared" si="7"/>
        <v>4175.62</v>
      </c>
      <c r="AB45">
        <f t="shared" si="8"/>
        <v>3296</v>
      </c>
    </row>
    <row r="46" spans="1:28" x14ac:dyDescent="0.25">
      <c r="A46" s="2">
        <v>13036</v>
      </c>
      <c r="B46" s="2">
        <v>10.523140714635099</v>
      </c>
      <c r="C46" s="2">
        <v>21.93</v>
      </c>
      <c r="D46" s="2">
        <f t="shared" si="0"/>
        <v>42.43</v>
      </c>
      <c r="E46" s="2">
        <v>2.25</v>
      </c>
      <c r="F46" s="2">
        <v>20.6</v>
      </c>
      <c r="G46" s="2">
        <v>0</v>
      </c>
      <c r="H46" s="2">
        <v>0</v>
      </c>
      <c r="I46" s="2">
        <v>0</v>
      </c>
      <c r="J46" s="2">
        <v>0</v>
      </c>
      <c r="K46" s="2">
        <v>15.5268592853648</v>
      </c>
      <c r="L46" s="2">
        <v>22.181227550521101</v>
      </c>
      <c r="M46" s="2">
        <v>0</v>
      </c>
      <c r="N46" s="2">
        <v>0</v>
      </c>
      <c r="O46" s="2">
        <v>1198</v>
      </c>
      <c r="P46" s="2">
        <v>-863</v>
      </c>
      <c r="Q46" s="2">
        <v>386</v>
      </c>
      <c r="R46" s="2">
        <v>856</v>
      </c>
      <c r="S46" s="2">
        <v>2065</v>
      </c>
      <c r="T46" s="2">
        <f t="shared" si="1"/>
        <v>1962.7619440304913</v>
      </c>
      <c r="U46" s="2">
        <f t="shared" si="2"/>
        <v>306.65282747556466</v>
      </c>
      <c r="V46" s="2">
        <f t="shared" si="3"/>
        <v>134.24199692406933</v>
      </c>
      <c r="W46" s="2">
        <f t="shared" si="4"/>
        <v>2403.6567684301253</v>
      </c>
      <c r="X46" s="2">
        <v>-10.334</v>
      </c>
      <c r="Y46" s="2">
        <f t="shared" si="5"/>
        <v>5710.6567684301253</v>
      </c>
      <c r="Z46" s="2">
        <f t="shared" si="6"/>
        <v>30662.424000000003</v>
      </c>
      <c r="AA46">
        <f t="shared" si="7"/>
        <v>4167.5120000000006</v>
      </c>
      <c r="AB46">
        <f t="shared" si="8"/>
        <v>3289.6000000000004</v>
      </c>
    </row>
    <row r="47" spans="1:28" x14ac:dyDescent="0.25">
      <c r="A47" s="2">
        <v>13036</v>
      </c>
      <c r="B47" s="2">
        <v>10.523140714635099</v>
      </c>
      <c r="C47" s="2">
        <v>21.93</v>
      </c>
      <c r="D47" s="2">
        <f t="shared" si="0"/>
        <v>42.43</v>
      </c>
      <c r="E47" s="2">
        <v>2.25</v>
      </c>
      <c r="F47" s="2">
        <v>20.6</v>
      </c>
      <c r="G47" s="2">
        <v>0</v>
      </c>
      <c r="H47" s="2">
        <v>0</v>
      </c>
      <c r="I47" s="2">
        <v>0</v>
      </c>
      <c r="J47" s="2">
        <v>0</v>
      </c>
      <c r="K47" s="2">
        <v>15.5268592853648</v>
      </c>
      <c r="L47" s="2">
        <v>22.181227550521101</v>
      </c>
      <c r="M47" s="2">
        <v>0</v>
      </c>
      <c r="N47" s="2">
        <v>0</v>
      </c>
      <c r="O47" s="2">
        <v>1198</v>
      </c>
      <c r="P47" s="2">
        <v>-863</v>
      </c>
      <c r="Q47" s="2">
        <v>386</v>
      </c>
      <c r="R47" s="2">
        <v>856</v>
      </c>
      <c r="S47" s="2">
        <v>2065</v>
      </c>
      <c r="T47" s="2">
        <f t="shared" si="1"/>
        <v>1962.7619440304913</v>
      </c>
      <c r="U47" s="2">
        <f t="shared" si="2"/>
        <v>306.65282747556466</v>
      </c>
      <c r="V47" s="2">
        <f t="shared" si="3"/>
        <v>134.24199692406933</v>
      </c>
      <c r="W47" s="2">
        <f t="shared" si="4"/>
        <v>2403.6567684301253</v>
      </c>
      <c r="X47" s="2">
        <v>-10.334</v>
      </c>
      <c r="Y47" s="2">
        <f t="shared" si="5"/>
        <v>5710.6567684301253</v>
      </c>
      <c r="Z47" s="2">
        <f t="shared" si="6"/>
        <v>30662.424000000003</v>
      </c>
      <c r="AA47">
        <f t="shared" si="7"/>
        <v>4167.5120000000006</v>
      </c>
      <c r="AB47">
        <f t="shared" si="8"/>
        <v>3289.6000000000004</v>
      </c>
    </row>
    <row r="48" spans="1:28" x14ac:dyDescent="0.25">
      <c r="A48" s="2">
        <v>12952</v>
      </c>
      <c r="B48" s="2">
        <v>10.5123905055602</v>
      </c>
      <c r="C48" s="2">
        <v>21.79</v>
      </c>
      <c r="D48" s="2">
        <f t="shared" si="0"/>
        <v>42.29</v>
      </c>
      <c r="E48" s="2">
        <v>2.27</v>
      </c>
      <c r="F48" s="2">
        <v>20.48</v>
      </c>
      <c r="G48" s="2">
        <v>0</v>
      </c>
      <c r="H48" s="2">
        <v>0</v>
      </c>
      <c r="I48" s="2">
        <v>0</v>
      </c>
      <c r="J48" s="2">
        <v>0</v>
      </c>
      <c r="K48" s="2">
        <v>15.5376094944397</v>
      </c>
      <c r="L48" s="2">
        <v>22.1965849920567</v>
      </c>
      <c r="M48" s="2">
        <v>0</v>
      </c>
      <c r="N48" s="2">
        <v>0</v>
      </c>
      <c r="O48" s="2">
        <v>1199</v>
      </c>
      <c r="P48" s="2">
        <v>-858</v>
      </c>
      <c r="Q48" s="2">
        <v>392</v>
      </c>
      <c r="R48" s="2">
        <v>854</v>
      </c>
      <c r="S48" s="2">
        <v>2065</v>
      </c>
      <c r="T48" s="2">
        <f t="shared" si="1"/>
        <v>1941.3722186414716</v>
      </c>
      <c r="U48" s="2">
        <f t="shared" si="2"/>
        <v>306.35452705973239</v>
      </c>
      <c r="V48" s="2">
        <f t="shared" si="3"/>
        <v>134.11141132394866</v>
      </c>
      <c r="W48" s="2">
        <f t="shared" si="4"/>
        <v>2381.8381570251527</v>
      </c>
      <c r="X48" s="2">
        <v>-10.257</v>
      </c>
      <c r="Y48" s="2">
        <f t="shared" si="5"/>
        <v>5692.8381570251531</v>
      </c>
      <c r="Z48" s="2">
        <f t="shared" si="6"/>
        <v>30328.272000000001</v>
      </c>
      <c r="AA48">
        <f t="shared" si="7"/>
        <v>4163.4580000000005</v>
      </c>
      <c r="AB48">
        <f t="shared" si="8"/>
        <v>3286.4</v>
      </c>
    </row>
    <row r="49" spans="1:28" x14ac:dyDescent="0.25">
      <c r="A49" s="2">
        <v>12877</v>
      </c>
      <c r="B49" s="2">
        <v>10.5132918740882</v>
      </c>
      <c r="C49" s="2">
        <v>21.67</v>
      </c>
      <c r="D49" s="2">
        <f t="shared" si="0"/>
        <v>42.17</v>
      </c>
      <c r="E49" s="2">
        <v>2.2799999999999998</v>
      </c>
      <c r="F49" s="2">
        <v>20.37</v>
      </c>
      <c r="G49" s="2">
        <v>0</v>
      </c>
      <c r="H49" s="2">
        <v>0</v>
      </c>
      <c r="I49" s="2">
        <v>0</v>
      </c>
      <c r="J49" s="2">
        <v>0</v>
      </c>
      <c r="K49" s="2">
        <v>15.5367081259117</v>
      </c>
      <c r="L49" s="2">
        <v>22.195297322731001</v>
      </c>
      <c r="M49" s="2">
        <v>0</v>
      </c>
      <c r="N49" s="2">
        <v>0</v>
      </c>
      <c r="O49" s="2">
        <v>1199</v>
      </c>
      <c r="P49" s="2">
        <v>-853</v>
      </c>
      <c r="Q49" s="2">
        <v>397</v>
      </c>
      <c r="R49" s="2">
        <v>852</v>
      </c>
      <c r="S49" s="2">
        <v>2065</v>
      </c>
      <c r="T49" s="2">
        <f t="shared" si="1"/>
        <v>1922.2742495441335</v>
      </c>
      <c r="U49" s="2">
        <f t="shared" si="2"/>
        <v>306.35452705973239</v>
      </c>
      <c r="V49" s="2">
        <f t="shared" si="3"/>
        <v>134.11141132394866</v>
      </c>
      <c r="W49" s="2">
        <f t="shared" si="4"/>
        <v>2362.7401879278145</v>
      </c>
      <c r="X49" s="2">
        <v>-10.185</v>
      </c>
      <c r="Y49" s="2">
        <f t="shared" si="5"/>
        <v>5676.740187927815</v>
      </c>
      <c r="Z49" s="2">
        <f t="shared" si="6"/>
        <v>30029.922000000002</v>
      </c>
      <c r="AA49">
        <f t="shared" si="7"/>
        <v>4163.4580000000005</v>
      </c>
      <c r="AB49">
        <f t="shared" si="8"/>
        <v>3286.4</v>
      </c>
    </row>
    <row r="50" spans="1:28" x14ac:dyDescent="0.25">
      <c r="A50" s="2">
        <v>12870</v>
      </c>
      <c r="B50" s="2">
        <v>10.535257397139</v>
      </c>
      <c r="C50" s="2">
        <v>21.65</v>
      </c>
      <c r="D50" s="2">
        <f t="shared" si="0"/>
        <v>42.15</v>
      </c>
      <c r="E50" s="2">
        <v>2.29</v>
      </c>
      <c r="F50" s="2">
        <v>20.350000000000001</v>
      </c>
      <c r="G50" s="2">
        <v>0</v>
      </c>
      <c r="H50" s="2">
        <v>0</v>
      </c>
      <c r="I50" s="2">
        <v>0</v>
      </c>
      <c r="J50" s="2">
        <v>0</v>
      </c>
      <c r="K50" s="2">
        <v>15.514742602860901</v>
      </c>
      <c r="L50" s="2">
        <v>22.163918004087002</v>
      </c>
      <c r="M50" s="2">
        <v>0</v>
      </c>
      <c r="N50" s="2">
        <v>0</v>
      </c>
      <c r="O50" s="2">
        <v>1197</v>
      </c>
      <c r="P50" s="2">
        <v>-852</v>
      </c>
      <c r="Q50" s="2">
        <v>396</v>
      </c>
      <c r="R50" s="2">
        <v>852</v>
      </c>
      <c r="S50" s="2">
        <v>2065</v>
      </c>
      <c r="T50" s="2">
        <f t="shared" si="1"/>
        <v>1920.4917724283814</v>
      </c>
      <c r="U50" s="2">
        <f t="shared" si="2"/>
        <v>307.2494283072291</v>
      </c>
      <c r="V50" s="2">
        <f t="shared" si="3"/>
        <v>134.50316812431072</v>
      </c>
      <c r="W50" s="2">
        <f t="shared" si="4"/>
        <v>2362.2443688599215</v>
      </c>
      <c r="X50" s="2">
        <v>-10.175000000000001</v>
      </c>
      <c r="Y50" s="2">
        <f t="shared" si="5"/>
        <v>5675.2443688599215</v>
      </c>
      <c r="Z50" s="2">
        <f t="shared" si="6"/>
        <v>30002.076000000001</v>
      </c>
      <c r="AA50">
        <f t="shared" si="7"/>
        <v>4175.62</v>
      </c>
      <c r="AB50">
        <f t="shared" si="8"/>
        <v>3296</v>
      </c>
    </row>
    <row r="51" spans="1:28" x14ac:dyDescent="0.25">
      <c r="A51" s="2">
        <v>12870</v>
      </c>
      <c r="B51" s="2">
        <v>10.535257397139</v>
      </c>
      <c r="C51" s="2">
        <v>21.65</v>
      </c>
      <c r="D51" s="2">
        <f t="shared" si="0"/>
        <v>42.15</v>
      </c>
      <c r="E51" s="2">
        <v>2.29</v>
      </c>
      <c r="F51" s="2">
        <v>20.350000000000001</v>
      </c>
      <c r="G51" s="2">
        <v>0</v>
      </c>
      <c r="H51" s="2">
        <v>0</v>
      </c>
      <c r="I51" s="2">
        <v>0</v>
      </c>
      <c r="J51" s="2">
        <v>0</v>
      </c>
      <c r="K51" s="2">
        <v>15.514742602860901</v>
      </c>
      <c r="L51" s="2">
        <v>22.163918004087002</v>
      </c>
      <c r="M51" s="2">
        <v>0</v>
      </c>
      <c r="N51" s="2">
        <v>0</v>
      </c>
      <c r="O51" s="2">
        <v>1197</v>
      </c>
      <c r="P51" s="2">
        <v>-852</v>
      </c>
      <c r="Q51" s="2">
        <v>396</v>
      </c>
      <c r="R51" s="2">
        <v>852</v>
      </c>
      <c r="S51" s="2">
        <v>2065</v>
      </c>
      <c r="T51" s="2">
        <f t="shared" si="1"/>
        <v>1920.4917724283814</v>
      </c>
      <c r="U51" s="2">
        <f t="shared" si="2"/>
        <v>307.2494283072291</v>
      </c>
      <c r="V51" s="2">
        <f t="shared" si="3"/>
        <v>134.50316812431072</v>
      </c>
      <c r="W51" s="2">
        <f t="shared" si="4"/>
        <v>2362.2443688599215</v>
      </c>
      <c r="X51" s="2">
        <v>-10.175000000000001</v>
      </c>
      <c r="Y51" s="2">
        <f t="shared" si="5"/>
        <v>5675.2443688599215</v>
      </c>
      <c r="Z51" s="2">
        <f t="shared" si="6"/>
        <v>30002.076000000001</v>
      </c>
      <c r="AA51">
        <f t="shared" si="7"/>
        <v>4175.62</v>
      </c>
      <c r="AB51">
        <f t="shared" si="8"/>
        <v>3296</v>
      </c>
    </row>
    <row r="52" spans="1:28" x14ac:dyDescent="0.25">
      <c r="A52" s="2">
        <v>12856</v>
      </c>
      <c r="B52" s="2">
        <v>10.582210475040601</v>
      </c>
      <c r="C52" s="2">
        <v>21.63</v>
      </c>
      <c r="D52" s="2">
        <f t="shared" si="0"/>
        <v>42.129999999999995</v>
      </c>
      <c r="E52" s="2">
        <v>2.2999999999999998</v>
      </c>
      <c r="F52" s="2">
        <v>20.329999999999998</v>
      </c>
      <c r="G52" s="2">
        <v>0</v>
      </c>
      <c r="H52" s="2">
        <v>0</v>
      </c>
      <c r="I52" s="2">
        <v>0</v>
      </c>
      <c r="J52" s="2">
        <v>0</v>
      </c>
      <c r="K52" s="2">
        <v>15.467789524959301</v>
      </c>
      <c r="L52" s="2">
        <v>22.096842178513299</v>
      </c>
      <c r="M52" s="2">
        <v>0</v>
      </c>
      <c r="N52" s="2">
        <v>0</v>
      </c>
      <c r="O52" s="2">
        <v>1193</v>
      </c>
      <c r="P52" s="2">
        <v>-850</v>
      </c>
      <c r="Q52" s="2">
        <v>394</v>
      </c>
      <c r="R52" s="2">
        <v>851</v>
      </c>
      <c r="S52" s="2">
        <v>2066</v>
      </c>
      <c r="T52" s="2">
        <f t="shared" si="1"/>
        <v>1916.9268181968782</v>
      </c>
      <c r="U52" s="2">
        <f t="shared" si="2"/>
        <v>308.44262997055813</v>
      </c>
      <c r="V52" s="2">
        <f t="shared" si="3"/>
        <v>135.02551052479348</v>
      </c>
      <c r="W52" s="2">
        <f t="shared" si="4"/>
        <v>2360.3949586922299</v>
      </c>
      <c r="X52" s="2">
        <v>-10.153</v>
      </c>
      <c r="Y52" s="2">
        <f t="shared" si="5"/>
        <v>5671.3949586922299</v>
      </c>
      <c r="Z52" s="2">
        <f t="shared" si="6"/>
        <v>29946.384000000002</v>
      </c>
      <c r="AA52">
        <f t="shared" si="7"/>
        <v>4191.8360000000002</v>
      </c>
      <c r="AB52">
        <f t="shared" si="8"/>
        <v>3308.8</v>
      </c>
    </row>
    <row r="53" spans="1:28" x14ac:dyDescent="0.25">
      <c r="A53" s="2">
        <v>12798</v>
      </c>
      <c r="B53" s="2">
        <v>10.676150946279099</v>
      </c>
      <c r="C53" s="2">
        <v>21.53</v>
      </c>
      <c r="D53" s="2">
        <f t="shared" si="0"/>
        <v>42.03</v>
      </c>
      <c r="E53" s="2">
        <v>2.33</v>
      </c>
      <c r="F53" s="2">
        <v>20.23</v>
      </c>
      <c r="G53" s="2">
        <v>0</v>
      </c>
      <c r="H53" s="2">
        <v>0</v>
      </c>
      <c r="I53" s="2">
        <v>0</v>
      </c>
      <c r="J53" s="2">
        <v>0</v>
      </c>
      <c r="K53" s="2">
        <v>15.3738490537208</v>
      </c>
      <c r="L53" s="2">
        <v>21.962641505315499</v>
      </c>
      <c r="M53" s="2">
        <v>0</v>
      </c>
      <c r="N53" s="2">
        <v>0</v>
      </c>
      <c r="O53" s="2">
        <v>1186</v>
      </c>
      <c r="P53" s="2">
        <v>-845</v>
      </c>
      <c r="Q53" s="2">
        <v>393</v>
      </c>
      <c r="R53" s="2">
        <v>849</v>
      </c>
      <c r="S53" s="2">
        <v>2069</v>
      </c>
      <c r="T53" s="2">
        <f t="shared" si="1"/>
        <v>1902.1577220949364</v>
      </c>
      <c r="U53" s="2">
        <f t="shared" si="2"/>
        <v>311.12733371304853</v>
      </c>
      <c r="V53" s="2">
        <f t="shared" si="3"/>
        <v>136.20078092587968</v>
      </c>
      <c r="W53" s="2">
        <f t="shared" si="4"/>
        <v>2349.4858367338647</v>
      </c>
      <c r="X53" s="2">
        <v>-10.082000000000001</v>
      </c>
      <c r="Y53" s="2">
        <f t="shared" si="5"/>
        <v>5660.4858367338647</v>
      </c>
      <c r="Z53" s="2">
        <f t="shared" si="6"/>
        <v>29715.66</v>
      </c>
      <c r="AA53">
        <f t="shared" si="7"/>
        <v>4228.3220000000001</v>
      </c>
      <c r="AB53">
        <f t="shared" si="8"/>
        <v>3337.6000000000004</v>
      </c>
    </row>
    <row r="54" spans="1:28" x14ac:dyDescent="0.25">
      <c r="A54" s="2">
        <v>12748</v>
      </c>
      <c r="B54" s="2">
        <v>10.516037718082501</v>
      </c>
      <c r="C54" s="2">
        <v>21.45</v>
      </c>
      <c r="D54" s="2">
        <f t="shared" si="0"/>
        <v>41.95</v>
      </c>
      <c r="E54" s="2">
        <v>2.31</v>
      </c>
      <c r="F54" s="2">
        <v>20.170000000000002</v>
      </c>
      <c r="G54" s="2">
        <v>0</v>
      </c>
      <c r="H54" s="2">
        <v>0</v>
      </c>
      <c r="I54" s="2">
        <v>0</v>
      </c>
      <c r="J54" s="2">
        <v>0</v>
      </c>
      <c r="K54" s="2">
        <v>15.5339622819174</v>
      </c>
      <c r="L54" s="2">
        <v>22.1913746884535</v>
      </c>
      <c r="M54" s="2">
        <v>0</v>
      </c>
      <c r="N54" s="2">
        <v>0</v>
      </c>
      <c r="O54" s="2">
        <v>1198</v>
      </c>
      <c r="P54" s="2">
        <v>-844</v>
      </c>
      <c r="Q54" s="2">
        <v>405</v>
      </c>
      <c r="R54" s="2">
        <v>849</v>
      </c>
      <c r="S54" s="2">
        <v>2065</v>
      </c>
      <c r="T54" s="2">
        <f t="shared" si="1"/>
        <v>1889.4257426967104</v>
      </c>
      <c r="U54" s="2">
        <f t="shared" si="2"/>
        <v>306.65282747556466</v>
      </c>
      <c r="V54" s="2">
        <f t="shared" si="3"/>
        <v>134.24199692406933</v>
      </c>
      <c r="W54" s="2">
        <f t="shared" si="4"/>
        <v>2330.3205670963443</v>
      </c>
      <c r="X54" s="2">
        <v>-10.063000000000001</v>
      </c>
      <c r="Y54" s="2">
        <f t="shared" si="5"/>
        <v>5649.3205670963443</v>
      </c>
      <c r="Z54" s="2">
        <f t="shared" si="6"/>
        <v>29516.760000000002</v>
      </c>
      <c r="AA54">
        <f t="shared" si="7"/>
        <v>4167.5120000000006</v>
      </c>
      <c r="AB54">
        <f t="shared" si="8"/>
        <v>3289.6000000000004</v>
      </c>
    </row>
    <row r="55" spans="1:28" x14ac:dyDescent="0.25">
      <c r="A55" s="2">
        <v>12661</v>
      </c>
      <c r="B55" s="2">
        <v>10.5453864791371</v>
      </c>
      <c r="C55" s="2">
        <v>21.3</v>
      </c>
      <c r="D55" s="2">
        <f t="shared" si="0"/>
        <v>41.8</v>
      </c>
      <c r="E55" s="2">
        <v>2.33</v>
      </c>
      <c r="F55" s="2">
        <v>20.04</v>
      </c>
      <c r="G55" s="2">
        <v>0</v>
      </c>
      <c r="H55" s="2">
        <v>0</v>
      </c>
      <c r="I55" s="2">
        <v>0</v>
      </c>
      <c r="J55" s="2">
        <v>0</v>
      </c>
      <c r="K55" s="2">
        <v>15.504613520862801</v>
      </c>
      <c r="L55" s="2">
        <v>22.149447886946898</v>
      </c>
      <c r="M55" s="2">
        <v>0</v>
      </c>
      <c r="N55" s="2">
        <v>0</v>
      </c>
      <c r="O55" s="2">
        <v>1196</v>
      </c>
      <c r="P55" s="2">
        <v>-838</v>
      </c>
      <c r="Q55" s="2">
        <v>409</v>
      </c>
      <c r="R55" s="2">
        <v>846</v>
      </c>
      <c r="S55" s="2">
        <v>2065</v>
      </c>
      <c r="T55" s="2">
        <f t="shared" si="1"/>
        <v>1867.2720985437977</v>
      </c>
      <c r="U55" s="2">
        <f t="shared" si="2"/>
        <v>307.54772872306137</v>
      </c>
      <c r="V55" s="2">
        <f t="shared" si="3"/>
        <v>134.63375372443141</v>
      </c>
      <c r="W55" s="2">
        <f t="shared" si="4"/>
        <v>2309.4535809912904</v>
      </c>
      <c r="X55" s="2">
        <v>-9.9749999999999996</v>
      </c>
      <c r="Y55" s="2">
        <f t="shared" si="5"/>
        <v>5629.4535809912904</v>
      </c>
      <c r="Z55" s="2">
        <f t="shared" si="6"/>
        <v>29170.674000000003</v>
      </c>
      <c r="AA55">
        <f t="shared" si="7"/>
        <v>4179.674</v>
      </c>
      <c r="AB55">
        <f t="shared" si="8"/>
        <v>3299.2000000000003</v>
      </c>
    </row>
    <row r="56" spans="1:28" x14ac:dyDescent="0.25">
      <c r="A56" s="2">
        <v>12610</v>
      </c>
      <c r="B56" s="2">
        <v>10.5129503669882</v>
      </c>
      <c r="C56" s="2">
        <v>21.22</v>
      </c>
      <c r="D56" s="2">
        <f t="shared" si="0"/>
        <v>41.72</v>
      </c>
      <c r="E56" s="2">
        <v>2.34</v>
      </c>
      <c r="F56" s="2">
        <v>19.97</v>
      </c>
      <c r="G56" s="2">
        <v>0</v>
      </c>
      <c r="H56" s="2">
        <v>0</v>
      </c>
      <c r="I56" s="2">
        <v>0</v>
      </c>
      <c r="J56" s="2">
        <v>0</v>
      </c>
      <c r="K56" s="2">
        <v>15.5370496330117</v>
      </c>
      <c r="L56" s="2">
        <v>22.1957851900168</v>
      </c>
      <c r="M56" s="2">
        <v>0</v>
      </c>
      <c r="N56" s="2">
        <v>0</v>
      </c>
      <c r="O56" s="2">
        <v>1199</v>
      </c>
      <c r="P56" s="2">
        <v>-835</v>
      </c>
      <c r="Q56" s="2">
        <v>414</v>
      </c>
      <c r="R56" s="2">
        <v>845</v>
      </c>
      <c r="S56" s="2">
        <v>2065</v>
      </c>
      <c r="T56" s="2">
        <f t="shared" si="1"/>
        <v>1854.2854795576075</v>
      </c>
      <c r="U56" s="2">
        <f t="shared" si="2"/>
        <v>306.35452705973239</v>
      </c>
      <c r="V56" s="2">
        <f t="shared" si="3"/>
        <v>134.11141132394866</v>
      </c>
      <c r="W56" s="2">
        <f t="shared" si="4"/>
        <v>2294.7514179412888</v>
      </c>
      <c r="X56" s="2">
        <v>-9.9320000000000004</v>
      </c>
      <c r="Y56" s="2">
        <f t="shared" si="5"/>
        <v>5618.7514179412883</v>
      </c>
      <c r="Z56" s="2">
        <f t="shared" si="6"/>
        <v>28967.796000000002</v>
      </c>
      <c r="AA56">
        <f t="shared" si="7"/>
        <v>4163.4580000000005</v>
      </c>
      <c r="AB56">
        <f t="shared" si="8"/>
        <v>3286.4</v>
      </c>
    </row>
    <row r="57" spans="1:28" x14ac:dyDescent="0.25">
      <c r="A57" s="2">
        <v>12560</v>
      </c>
      <c r="B57" s="2">
        <v>10.531654310141301</v>
      </c>
      <c r="C57" s="2">
        <v>21.13</v>
      </c>
      <c r="D57" s="2">
        <f t="shared" si="0"/>
        <v>41.629999999999995</v>
      </c>
      <c r="E57" s="2">
        <v>2.35</v>
      </c>
      <c r="F57" s="2">
        <v>19.89</v>
      </c>
      <c r="G57" s="2">
        <v>0</v>
      </c>
      <c r="H57" s="2">
        <v>0</v>
      </c>
      <c r="I57" s="2">
        <v>0</v>
      </c>
      <c r="J57" s="2">
        <v>0</v>
      </c>
      <c r="K57" s="2">
        <v>15.518345689858601</v>
      </c>
      <c r="L57" s="2">
        <v>22.1690652712266</v>
      </c>
      <c r="M57" s="2">
        <v>0</v>
      </c>
      <c r="N57" s="2">
        <v>0</v>
      </c>
      <c r="O57" s="2">
        <v>1197</v>
      </c>
      <c r="P57" s="2">
        <v>-832</v>
      </c>
      <c r="Q57" s="2">
        <v>417</v>
      </c>
      <c r="R57" s="2">
        <v>844</v>
      </c>
      <c r="S57" s="2">
        <v>2065</v>
      </c>
      <c r="T57" s="2">
        <f t="shared" si="1"/>
        <v>1841.5535001593814</v>
      </c>
      <c r="U57" s="2">
        <f t="shared" si="2"/>
        <v>306.95112789139688</v>
      </c>
      <c r="V57" s="2">
        <f t="shared" si="3"/>
        <v>134.37258252419002</v>
      </c>
      <c r="W57" s="2">
        <f t="shared" si="4"/>
        <v>2282.8772105749681</v>
      </c>
      <c r="X57" s="2">
        <v>-9.8819999999999997</v>
      </c>
      <c r="Y57" s="2">
        <f t="shared" si="5"/>
        <v>5608.8772105749686</v>
      </c>
      <c r="Z57" s="2">
        <f t="shared" si="6"/>
        <v>28768.896000000001</v>
      </c>
      <c r="AA57">
        <f t="shared" si="7"/>
        <v>4171.5660000000007</v>
      </c>
      <c r="AB57">
        <f t="shared" si="8"/>
        <v>3292.8</v>
      </c>
    </row>
    <row r="58" spans="1:28" x14ac:dyDescent="0.25">
      <c r="A58" s="2">
        <v>12489</v>
      </c>
      <c r="B58" s="2">
        <v>10.5411838518539</v>
      </c>
      <c r="C58" s="2">
        <v>21.01</v>
      </c>
      <c r="D58" s="2">
        <f t="shared" si="0"/>
        <v>41.510000000000005</v>
      </c>
      <c r="E58" s="2">
        <v>2.36</v>
      </c>
      <c r="F58" s="2">
        <v>19.79</v>
      </c>
      <c r="G58" s="2">
        <v>0</v>
      </c>
      <c r="H58" s="2">
        <v>0</v>
      </c>
      <c r="I58" s="2">
        <v>0</v>
      </c>
      <c r="J58" s="2">
        <v>0</v>
      </c>
      <c r="K58" s="2">
        <v>15.508816148146</v>
      </c>
      <c r="L58" s="2">
        <v>22.1554516402086</v>
      </c>
      <c r="M58" s="2">
        <v>0</v>
      </c>
      <c r="N58" s="2">
        <v>0</v>
      </c>
      <c r="O58" s="2">
        <v>1196</v>
      </c>
      <c r="P58" s="2">
        <v>-827</v>
      </c>
      <c r="Q58" s="2">
        <v>421</v>
      </c>
      <c r="R58" s="2">
        <v>842</v>
      </c>
      <c r="S58" s="2">
        <v>2065</v>
      </c>
      <c r="T58" s="2">
        <f t="shared" si="1"/>
        <v>1823.4740894139011</v>
      </c>
      <c r="U58" s="2">
        <f t="shared" si="2"/>
        <v>307.2494283072291</v>
      </c>
      <c r="V58" s="2">
        <f t="shared" si="3"/>
        <v>134.50316812431072</v>
      </c>
      <c r="W58" s="2">
        <f t="shared" si="4"/>
        <v>2265.2266858454409</v>
      </c>
      <c r="X58" s="2">
        <v>-9.8130000000000006</v>
      </c>
      <c r="Y58" s="2">
        <f t="shared" si="5"/>
        <v>5593.2266858454404</v>
      </c>
      <c r="Z58" s="2">
        <f t="shared" si="6"/>
        <v>28486.458000000002</v>
      </c>
      <c r="AA58">
        <f t="shared" si="7"/>
        <v>4175.62</v>
      </c>
      <c r="AB58">
        <f t="shared" si="8"/>
        <v>3296</v>
      </c>
    </row>
    <row r="59" spans="1:28" x14ac:dyDescent="0.25">
      <c r="A59" s="2">
        <v>12452</v>
      </c>
      <c r="B59" s="2">
        <v>10.5087137300319</v>
      </c>
      <c r="C59" s="2">
        <v>20.95</v>
      </c>
      <c r="D59" s="2">
        <f t="shared" si="0"/>
        <v>41.45</v>
      </c>
      <c r="E59" s="2">
        <v>2.37</v>
      </c>
      <c r="F59" s="2">
        <v>19.739999999999998</v>
      </c>
      <c r="G59" s="2">
        <v>0</v>
      </c>
      <c r="H59" s="2">
        <v>0</v>
      </c>
      <c r="I59" s="2">
        <v>1.2862699680997701E-3</v>
      </c>
      <c r="J59" s="2">
        <v>1.42918885344419E-3</v>
      </c>
      <c r="K59" s="2">
        <v>15.54</v>
      </c>
      <c r="L59" s="2">
        <v>22.2</v>
      </c>
      <c r="M59" s="2">
        <v>0</v>
      </c>
      <c r="N59" s="2">
        <v>0</v>
      </c>
      <c r="O59" s="2">
        <v>1199</v>
      </c>
      <c r="P59" s="2">
        <v>-825</v>
      </c>
      <c r="Q59" s="2">
        <v>425</v>
      </c>
      <c r="R59" s="2">
        <v>841</v>
      </c>
      <c r="S59" s="2">
        <v>2065</v>
      </c>
      <c r="T59" s="2">
        <f t="shared" si="1"/>
        <v>1814.0524246592136</v>
      </c>
      <c r="U59" s="2">
        <f t="shared" si="2"/>
        <v>306.35452705973239</v>
      </c>
      <c r="V59" s="2">
        <f t="shared" si="3"/>
        <v>134.11141132394866</v>
      </c>
      <c r="W59" s="2">
        <f t="shared" si="4"/>
        <v>2254.5183630428946</v>
      </c>
      <c r="X59" s="2">
        <v>-9.7829999999999995</v>
      </c>
      <c r="Y59" s="2">
        <f t="shared" si="5"/>
        <v>5585.5183630428946</v>
      </c>
      <c r="Z59" s="2">
        <f t="shared" si="6"/>
        <v>28339.272000000001</v>
      </c>
      <c r="AA59">
        <f t="shared" si="7"/>
        <v>4163.4580000000005</v>
      </c>
      <c r="AB59">
        <f t="shared" si="8"/>
        <v>3286.4</v>
      </c>
    </row>
    <row r="60" spans="1:28" x14ac:dyDescent="0.25">
      <c r="A60" s="2">
        <v>12409</v>
      </c>
      <c r="B60" s="2">
        <v>10.516037718082501</v>
      </c>
      <c r="C60" s="2">
        <v>20.88</v>
      </c>
      <c r="D60" s="2">
        <f t="shared" si="0"/>
        <v>41.379999999999995</v>
      </c>
      <c r="E60" s="2">
        <v>2.38</v>
      </c>
      <c r="F60" s="2">
        <v>19.670000000000002</v>
      </c>
      <c r="G60" s="2">
        <v>0</v>
      </c>
      <c r="H60" s="2">
        <v>0</v>
      </c>
      <c r="I60" s="2">
        <v>0</v>
      </c>
      <c r="J60" s="2">
        <v>0</v>
      </c>
      <c r="K60" s="2">
        <v>15.5339622819174</v>
      </c>
      <c r="L60" s="2">
        <v>22.1913746884535</v>
      </c>
      <c r="M60" s="2">
        <v>0</v>
      </c>
      <c r="N60" s="2">
        <v>0</v>
      </c>
      <c r="O60" s="2">
        <v>1198</v>
      </c>
      <c r="P60" s="2">
        <v>-822</v>
      </c>
      <c r="Q60" s="2">
        <v>428</v>
      </c>
      <c r="R60" s="2">
        <v>840</v>
      </c>
      <c r="S60" s="2">
        <v>2065</v>
      </c>
      <c r="T60" s="2">
        <f t="shared" si="1"/>
        <v>1803.1029223767396</v>
      </c>
      <c r="U60" s="2">
        <f t="shared" si="2"/>
        <v>306.65282747556466</v>
      </c>
      <c r="V60" s="2">
        <f t="shared" si="3"/>
        <v>134.24199692406933</v>
      </c>
      <c r="W60" s="2">
        <f t="shared" si="4"/>
        <v>2243.9977467763738</v>
      </c>
      <c r="X60" s="2">
        <v>-9.7409999999999997</v>
      </c>
      <c r="Y60" s="2">
        <f t="shared" si="5"/>
        <v>5576.9977467763738</v>
      </c>
      <c r="Z60" s="2">
        <f t="shared" si="6"/>
        <v>28168.218000000001</v>
      </c>
      <c r="AA60">
        <f t="shared" si="7"/>
        <v>4167.5120000000006</v>
      </c>
      <c r="AB60">
        <f t="shared" si="8"/>
        <v>3289.6000000000004</v>
      </c>
    </row>
    <row r="61" spans="1:28" x14ac:dyDescent="0.25">
      <c r="A61" s="2">
        <v>12407</v>
      </c>
      <c r="B61" s="2">
        <v>10.5441365951792</v>
      </c>
      <c r="C61" s="2">
        <v>20.87</v>
      </c>
      <c r="D61" s="2">
        <f t="shared" si="0"/>
        <v>41.370000000000005</v>
      </c>
      <c r="E61" s="2">
        <v>2.38</v>
      </c>
      <c r="F61" s="2">
        <v>19.670000000000002</v>
      </c>
      <c r="G61" s="2">
        <v>0</v>
      </c>
      <c r="H61" s="2">
        <v>0</v>
      </c>
      <c r="I61" s="2">
        <v>0</v>
      </c>
      <c r="J61" s="2">
        <v>0</v>
      </c>
      <c r="K61" s="2">
        <v>15.505863404820699</v>
      </c>
      <c r="L61" s="2">
        <v>22.151233435458199</v>
      </c>
      <c r="M61" s="2">
        <v>0</v>
      </c>
      <c r="N61" s="2">
        <v>0</v>
      </c>
      <c r="O61" s="2">
        <v>1196</v>
      </c>
      <c r="P61" s="2">
        <v>-821</v>
      </c>
      <c r="Q61" s="2">
        <v>426</v>
      </c>
      <c r="R61" s="2">
        <v>840</v>
      </c>
      <c r="S61" s="2">
        <v>2065</v>
      </c>
      <c r="T61" s="2">
        <f t="shared" si="1"/>
        <v>1802.5936432008104</v>
      </c>
      <c r="U61" s="2">
        <f t="shared" si="2"/>
        <v>307.54772872306137</v>
      </c>
      <c r="V61" s="2">
        <f t="shared" si="3"/>
        <v>134.63375372443141</v>
      </c>
      <c r="W61" s="2">
        <f t="shared" si="4"/>
        <v>2244.7751256483029</v>
      </c>
      <c r="X61" s="2">
        <v>-9.7349999999999994</v>
      </c>
      <c r="Y61" s="2">
        <f t="shared" si="5"/>
        <v>5575.7751256483025</v>
      </c>
      <c r="Z61" s="2">
        <f t="shared" si="6"/>
        <v>28160.262000000002</v>
      </c>
      <c r="AA61">
        <f t="shared" si="7"/>
        <v>4179.674</v>
      </c>
      <c r="AB61">
        <f t="shared" si="8"/>
        <v>3299.2000000000003</v>
      </c>
    </row>
    <row r="62" spans="1:28" x14ac:dyDescent="0.25">
      <c r="A62" s="2">
        <v>12336</v>
      </c>
      <c r="B62" s="2">
        <v>10.508623209900801</v>
      </c>
      <c r="C62" s="2">
        <v>20.76</v>
      </c>
      <c r="D62" s="2">
        <f t="shared" si="0"/>
        <v>41.260000000000005</v>
      </c>
      <c r="E62" s="2">
        <v>2.39</v>
      </c>
      <c r="F62" s="2">
        <v>19.57</v>
      </c>
      <c r="G62" s="2">
        <v>0</v>
      </c>
      <c r="H62" s="2">
        <v>0</v>
      </c>
      <c r="I62" s="2">
        <v>1.3767900991386E-3</v>
      </c>
      <c r="J62" s="2">
        <v>1.52976677682066E-3</v>
      </c>
      <c r="K62" s="2">
        <v>15.54</v>
      </c>
      <c r="L62" s="2">
        <v>22.2</v>
      </c>
      <c r="M62" s="2">
        <v>0</v>
      </c>
      <c r="N62" s="2">
        <v>0</v>
      </c>
      <c r="O62" s="2">
        <v>1199</v>
      </c>
      <c r="P62" s="2">
        <v>-817</v>
      </c>
      <c r="Q62" s="2">
        <v>433</v>
      </c>
      <c r="R62" s="2">
        <v>838</v>
      </c>
      <c r="S62" s="2">
        <v>2065</v>
      </c>
      <c r="T62" s="2">
        <f t="shared" si="1"/>
        <v>1784.5142324553296</v>
      </c>
      <c r="U62" s="2">
        <f t="shared" si="2"/>
        <v>306.35452705973239</v>
      </c>
      <c r="V62" s="2">
        <f t="shared" si="3"/>
        <v>134.11141132394866</v>
      </c>
      <c r="W62" s="2">
        <f t="shared" si="4"/>
        <v>2224.980170839011</v>
      </c>
      <c r="X62" s="2">
        <v>-9.673</v>
      </c>
      <c r="Y62" s="2">
        <f t="shared" si="5"/>
        <v>5560.9801708390114</v>
      </c>
      <c r="Z62" s="2">
        <f t="shared" si="6"/>
        <v>27877.824000000001</v>
      </c>
      <c r="AA62">
        <f t="shared" si="7"/>
        <v>4163.4580000000005</v>
      </c>
      <c r="AB62">
        <f t="shared" si="8"/>
        <v>3286.4</v>
      </c>
    </row>
    <row r="63" spans="1:28" x14ac:dyDescent="0.25">
      <c r="A63" s="2">
        <v>12339</v>
      </c>
      <c r="B63" s="2">
        <v>10.531654310141301</v>
      </c>
      <c r="C63" s="2">
        <v>20.76</v>
      </c>
      <c r="D63" s="2">
        <f t="shared" si="0"/>
        <v>41.260000000000005</v>
      </c>
      <c r="E63" s="2">
        <v>2.39</v>
      </c>
      <c r="F63" s="2">
        <v>19.57</v>
      </c>
      <c r="G63" s="2">
        <v>0</v>
      </c>
      <c r="H63" s="2">
        <v>0</v>
      </c>
      <c r="I63" s="2">
        <v>0</v>
      </c>
      <c r="J63" s="2">
        <v>0</v>
      </c>
      <c r="K63" s="2">
        <v>15.518345689858601</v>
      </c>
      <c r="L63" s="2">
        <v>22.1690652712266</v>
      </c>
      <c r="M63" s="2">
        <v>0</v>
      </c>
      <c r="N63" s="2">
        <v>0</v>
      </c>
      <c r="O63" s="2">
        <v>1197</v>
      </c>
      <c r="P63" s="2">
        <v>-817</v>
      </c>
      <c r="Q63" s="2">
        <v>431</v>
      </c>
      <c r="R63" s="2">
        <v>838</v>
      </c>
      <c r="S63" s="2">
        <v>2065</v>
      </c>
      <c r="T63" s="2">
        <f t="shared" si="1"/>
        <v>1785.2781512192234</v>
      </c>
      <c r="U63" s="2">
        <f t="shared" si="2"/>
        <v>306.95112789139688</v>
      </c>
      <c r="V63" s="2">
        <f t="shared" si="3"/>
        <v>134.37258252419002</v>
      </c>
      <c r="W63" s="2">
        <f t="shared" si="4"/>
        <v>2226.6018616348101</v>
      </c>
      <c r="X63" s="2">
        <v>-9.6720000000000006</v>
      </c>
      <c r="Y63" s="2">
        <f t="shared" si="5"/>
        <v>5560.6018616348101</v>
      </c>
      <c r="Z63" s="2">
        <f t="shared" si="6"/>
        <v>27889.758000000002</v>
      </c>
      <c r="AA63">
        <f t="shared" si="7"/>
        <v>4171.5660000000007</v>
      </c>
      <c r="AB63">
        <f t="shared" si="8"/>
        <v>3292.8</v>
      </c>
    </row>
    <row r="64" spans="1:28" x14ac:dyDescent="0.25">
      <c r="A64" s="2">
        <v>12278</v>
      </c>
      <c r="B64" s="2">
        <v>10.508623209900801</v>
      </c>
      <c r="C64" s="2">
        <v>20.66</v>
      </c>
      <c r="D64" s="2">
        <f t="shared" si="0"/>
        <v>41.16</v>
      </c>
      <c r="E64" s="2">
        <v>2.4</v>
      </c>
      <c r="F64" s="2">
        <v>19.48</v>
      </c>
      <c r="G64" s="2">
        <v>0</v>
      </c>
      <c r="H64" s="2">
        <v>0</v>
      </c>
      <c r="I64" s="2">
        <v>1.3767900991386E-3</v>
      </c>
      <c r="J64" s="2">
        <v>1.52976677682066E-3</v>
      </c>
      <c r="K64" s="2">
        <v>15.54</v>
      </c>
      <c r="L64" s="2">
        <v>22.2</v>
      </c>
      <c r="M64" s="2">
        <v>0</v>
      </c>
      <c r="N64" s="2">
        <v>0</v>
      </c>
      <c r="O64" s="2">
        <v>1199</v>
      </c>
      <c r="P64" s="2">
        <v>-813</v>
      </c>
      <c r="Q64" s="2">
        <v>437</v>
      </c>
      <c r="R64" s="2">
        <v>837</v>
      </c>
      <c r="S64" s="2">
        <v>2065</v>
      </c>
      <c r="T64" s="2">
        <f t="shared" si="1"/>
        <v>1769.7451363533878</v>
      </c>
      <c r="U64" s="2">
        <f t="shared" si="2"/>
        <v>306.35452705973239</v>
      </c>
      <c r="V64" s="2">
        <f t="shared" si="3"/>
        <v>134.11141132394866</v>
      </c>
      <c r="W64" s="2">
        <f t="shared" si="4"/>
        <v>2210.2110747370689</v>
      </c>
      <c r="X64" s="2">
        <v>-9.6180000000000003</v>
      </c>
      <c r="Y64" s="2">
        <f t="shared" si="5"/>
        <v>5549.2110747370689</v>
      </c>
      <c r="Z64" s="2">
        <f t="shared" si="6"/>
        <v>27647.100000000002</v>
      </c>
      <c r="AA64">
        <f t="shared" si="7"/>
        <v>4163.4580000000005</v>
      </c>
      <c r="AB64">
        <f t="shared" si="8"/>
        <v>3286.4</v>
      </c>
    </row>
    <row r="65" spans="1:28" x14ac:dyDescent="0.25">
      <c r="A65" s="2">
        <v>12256</v>
      </c>
      <c r="B65" s="2">
        <v>10.5005659386193</v>
      </c>
      <c r="C65" s="2">
        <v>20.62</v>
      </c>
      <c r="D65" s="2">
        <f t="shared" si="0"/>
        <v>41.120000000000005</v>
      </c>
      <c r="E65" s="2">
        <v>2.41</v>
      </c>
      <c r="F65" s="2">
        <v>19.45</v>
      </c>
      <c r="G65" s="2">
        <v>0</v>
      </c>
      <c r="H65" s="2">
        <v>0</v>
      </c>
      <c r="I65" s="2">
        <v>9.4340613806451704E-3</v>
      </c>
      <c r="J65" s="2">
        <v>1.0482290422939E-2</v>
      </c>
      <c r="K65" s="2">
        <v>15.54</v>
      </c>
      <c r="L65" s="2">
        <v>22.2</v>
      </c>
      <c r="M65" s="2">
        <v>0</v>
      </c>
      <c r="N65" s="2">
        <v>3</v>
      </c>
      <c r="O65" s="2">
        <v>1199</v>
      </c>
      <c r="P65" s="2">
        <v>-812</v>
      </c>
      <c r="Q65" s="2">
        <v>441</v>
      </c>
      <c r="R65" s="2">
        <v>836</v>
      </c>
      <c r="S65" s="2">
        <v>2065</v>
      </c>
      <c r="T65" s="2">
        <f t="shared" si="1"/>
        <v>1764.1430654181686</v>
      </c>
      <c r="U65" s="2">
        <f t="shared" si="2"/>
        <v>306.05622664390012</v>
      </c>
      <c r="V65" s="2">
        <f t="shared" si="3"/>
        <v>133.98082572382796</v>
      </c>
      <c r="W65" s="2">
        <f t="shared" si="4"/>
        <v>2204.1801177858965</v>
      </c>
      <c r="X65" s="2">
        <v>-9.5969999999999995</v>
      </c>
      <c r="Y65" s="2">
        <f t="shared" si="5"/>
        <v>5546.1801177858961</v>
      </c>
      <c r="Z65" s="2">
        <f t="shared" si="6"/>
        <v>27559.584000000003</v>
      </c>
      <c r="AA65">
        <f t="shared" si="7"/>
        <v>4159.4040000000005</v>
      </c>
      <c r="AB65">
        <f t="shared" si="8"/>
        <v>3283.2000000000003</v>
      </c>
    </row>
    <row r="66" spans="1:28" x14ac:dyDescent="0.25">
      <c r="A66" s="2">
        <v>12204</v>
      </c>
      <c r="B66" s="2">
        <v>10.512244072965601</v>
      </c>
      <c r="C66" s="2">
        <v>20.53</v>
      </c>
      <c r="D66" s="2">
        <f t="shared" si="0"/>
        <v>41.03</v>
      </c>
      <c r="E66" s="2">
        <v>2.42</v>
      </c>
      <c r="F66" s="2">
        <v>19.37</v>
      </c>
      <c r="G66" s="2">
        <v>0</v>
      </c>
      <c r="H66" s="2">
        <v>0</v>
      </c>
      <c r="I66" s="2">
        <v>0</v>
      </c>
      <c r="J66" s="2">
        <v>0</v>
      </c>
      <c r="K66" s="2">
        <v>15.537755927034301</v>
      </c>
      <c r="L66" s="2">
        <v>22.196794181477699</v>
      </c>
      <c r="M66" s="2">
        <v>0</v>
      </c>
      <c r="N66" s="2">
        <v>0</v>
      </c>
      <c r="O66" s="2">
        <v>1199</v>
      </c>
      <c r="P66" s="2">
        <v>-808</v>
      </c>
      <c r="Q66" s="2">
        <v>442</v>
      </c>
      <c r="R66" s="2">
        <v>835</v>
      </c>
      <c r="S66" s="2">
        <v>2065</v>
      </c>
      <c r="T66" s="2">
        <f t="shared" si="1"/>
        <v>1750.9018068440137</v>
      </c>
      <c r="U66" s="2">
        <f t="shared" si="2"/>
        <v>306.35452705973239</v>
      </c>
      <c r="V66" s="2">
        <f t="shared" si="3"/>
        <v>134.11141132394866</v>
      </c>
      <c r="W66" s="2">
        <f t="shared" si="4"/>
        <v>2191.3677452276947</v>
      </c>
      <c r="X66" s="2">
        <v>-9.548</v>
      </c>
      <c r="Y66" s="2">
        <f t="shared" si="5"/>
        <v>5533.3677452276952</v>
      </c>
      <c r="Z66" s="2">
        <f t="shared" si="6"/>
        <v>27352.728000000003</v>
      </c>
      <c r="AA66">
        <f t="shared" si="7"/>
        <v>4163.4580000000005</v>
      </c>
      <c r="AB66">
        <f t="shared" si="8"/>
        <v>3286.4</v>
      </c>
    </row>
    <row r="67" spans="1:28" x14ac:dyDescent="0.25">
      <c r="A67" s="2">
        <v>12151</v>
      </c>
      <c r="B67" s="2">
        <v>10.5398507947342</v>
      </c>
      <c r="C67" s="2">
        <v>20.440000000000001</v>
      </c>
      <c r="D67" s="2">
        <f t="shared" si="0"/>
        <v>40.94</v>
      </c>
      <c r="E67" s="2">
        <v>2.4300000000000002</v>
      </c>
      <c r="F67" s="2">
        <v>19.29</v>
      </c>
      <c r="G67" s="2">
        <v>0</v>
      </c>
      <c r="H67" s="2">
        <v>0</v>
      </c>
      <c r="I67" s="2">
        <v>0</v>
      </c>
      <c r="J67" s="2">
        <v>0</v>
      </c>
      <c r="K67" s="2">
        <v>15.5101492052657</v>
      </c>
      <c r="L67" s="2">
        <v>22.157356007522498</v>
      </c>
      <c r="M67" s="2">
        <v>0</v>
      </c>
      <c r="N67" s="2">
        <v>0</v>
      </c>
      <c r="O67" s="2">
        <v>1196</v>
      </c>
      <c r="P67" s="2">
        <v>-804</v>
      </c>
      <c r="Q67" s="2">
        <v>444</v>
      </c>
      <c r="R67" s="2">
        <v>834</v>
      </c>
      <c r="S67" s="2">
        <v>2065</v>
      </c>
      <c r="T67" s="2">
        <f t="shared" si="1"/>
        <v>1737.4059086818943</v>
      </c>
      <c r="U67" s="2">
        <f t="shared" si="2"/>
        <v>307.2494283072291</v>
      </c>
      <c r="V67" s="2">
        <f t="shared" si="3"/>
        <v>134.50316812431072</v>
      </c>
      <c r="W67" s="2">
        <f t="shared" si="4"/>
        <v>2179.1585051134343</v>
      </c>
      <c r="X67" s="2">
        <v>-9.4930000000000003</v>
      </c>
      <c r="Y67" s="2">
        <f t="shared" si="5"/>
        <v>5522.1585051134343</v>
      </c>
      <c r="Z67" s="2">
        <f t="shared" si="6"/>
        <v>27141.894</v>
      </c>
      <c r="AA67">
        <f t="shared" si="7"/>
        <v>4175.62</v>
      </c>
      <c r="AB67">
        <f t="shared" si="8"/>
        <v>3296</v>
      </c>
    </row>
    <row r="68" spans="1:28" x14ac:dyDescent="0.25">
      <c r="A68" s="2">
        <v>12124</v>
      </c>
      <c r="B68" s="2">
        <v>10.582537909215301</v>
      </c>
      <c r="C68" s="2">
        <v>20.399999999999999</v>
      </c>
      <c r="D68" s="2">
        <f t="shared" si="0"/>
        <v>40.9</v>
      </c>
      <c r="E68" s="2">
        <v>2.4500000000000002</v>
      </c>
      <c r="F68" s="2">
        <v>19.239999999999998</v>
      </c>
      <c r="G68" s="2">
        <v>0</v>
      </c>
      <c r="H68" s="2">
        <v>0</v>
      </c>
      <c r="I68" s="2">
        <v>0</v>
      </c>
      <c r="J68" s="2">
        <v>0</v>
      </c>
      <c r="K68" s="2">
        <v>15.467462090784601</v>
      </c>
      <c r="L68" s="2">
        <v>22.0963744154067</v>
      </c>
      <c r="M68" s="2">
        <v>0</v>
      </c>
      <c r="N68" s="2">
        <v>0</v>
      </c>
      <c r="O68" s="2">
        <v>1193</v>
      </c>
      <c r="P68" s="2">
        <v>-801</v>
      </c>
      <c r="Q68" s="2">
        <v>443</v>
      </c>
      <c r="R68" s="2">
        <v>833</v>
      </c>
      <c r="S68" s="2">
        <v>2067</v>
      </c>
      <c r="T68" s="2">
        <f t="shared" si="1"/>
        <v>1730.5306398068522</v>
      </c>
      <c r="U68" s="2">
        <f t="shared" si="2"/>
        <v>308.44262997055813</v>
      </c>
      <c r="V68" s="2">
        <f t="shared" si="3"/>
        <v>135.02551052479348</v>
      </c>
      <c r="W68" s="2">
        <f t="shared" si="4"/>
        <v>2173.9987803022036</v>
      </c>
      <c r="X68" s="2">
        <v>-9.4600000000000009</v>
      </c>
      <c r="Y68" s="2">
        <f t="shared" si="5"/>
        <v>5516.9987803022032</v>
      </c>
      <c r="Z68" s="2">
        <f t="shared" si="6"/>
        <v>27034.488000000001</v>
      </c>
      <c r="AA68">
        <f t="shared" si="7"/>
        <v>4191.8360000000002</v>
      </c>
      <c r="AB68">
        <f t="shared" si="8"/>
        <v>3308.8</v>
      </c>
    </row>
    <row r="69" spans="1:28" x14ac:dyDescent="0.25">
      <c r="A69" s="2">
        <v>12014</v>
      </c>
      <c r="B69" s="2">
        <v>10.5411258155724</v>
      </c>
      <c r="C69" s="2">
        <v>20.21</v>
      </c>
      <c r="D69" s="2">
        <f t="shared" si="0"/>
        <v>40.71</v>
      </c>
      <c r="E69" s="2">
        <v>2.46</v>
      </c>
      <c r="F69" s="2">
        <v>19.09</v>
      </c>
      <c r="G69" s="2">
        <v>0</v>
      </c>
      <c r="H69" s="2">
        <v>0</v>
      </c>
      <c r="I69" s="2">
        <v>0</v>
      </c>
      <c r="J69" s="2">
        <v>0</v>
      </c>
      <c r="K69" s="2">
        <v>15.5088741844275</v>
      </c>
      <c r="L69" s="2">
        <v>22.1555345491822</v>
      </c>
      <c r="M69" s="2">
        <v>0</v>
      </c>
      <c r="N69" s="2">
        <v>0</v>
      </c>
      <c r="O69" s="2">
        <v>1196</v>
      </c>
      <c r="P69" s="2">
        <v>-795</v>
      </c>
      <c r="Q69" s="2">
        <v>453</v>
      </c>
      <c r="R69" s="2">
        <v>830</v>
      </c>
      <c r="S69" s="2">
        <v>2065</v>
      </c>
      <c r="T69" s="2">
        <f t="shared" si="1"/>
        <v>1702.5202851307556</v>
      </c>
      <c r="U69" s="2">
        <f t="shared" si="2"/>
        <v>307.2494283072291</v>
      </c>
      <c r="V69" s="2">
        <f t="shared" si="3"/>
        <v>134.50316812431072</v>
      </c>
      <c r="W69" s="2">
        <f t="shared" si="4"/>
        <v>2144.2728815622954</v>
      </c>
      <c r="X69" s="2">
        <v>-9.3629999999999995</v>
      </c>
      <c r="Y69" s="2">
        <f t="shared" si="5"/>
        <v>5492.2728815622959</v>
      </c>
      <c r="Z69" s="2">
        <f t="shared" si="6"/>
        <v>26596.908000000003</v>
      </c>
      <c r="AA69">
        <f t="shared" si="7"/>
        <v>4175.62</v>
      </c>
      <c r="AB69">
        <f t="shared" si="8"/>
        <v>3296</v>
      </c>
    </row>
    <row r="70" spans="1:28" x14ac:dyDescent="0.25">
      <c r="A70" s="2">
        <v>11977</v>
      </c>
      <c r="B70" s="2">
        <v>10.536805999925001</v>
      </c>
      <c r="C70" s="2">
        <v>20.149999999999999</v>
      </c>
      <c r="D70" s="2">
        <f t="shared" ref="D70:D133" si="9">C70+20.5</f>
        <v>40.65</v>
      </c>
      <c r="E70" s="2">
        <v>2.4700000000000002</v>
      </c>
      <c r="F70" s="2">
        <v>19.03</v>
      </c>
      <c r="G70" s="2">
        <v>0</v>
      </c>
      <c r="H70" s="2">
        <v>0</v>
      </c>
      <c r="I70" s="2">
        <v>0</v>
      </c>
      <c r="J70" s="2">
        <v>0</v>
      </c>
      <c r="K70" s="2">
        <v>15.5131940000749</v>
      </c>
      <c r="L70" s="2">
        <v>22.161705714392699</v>
      </c>
      <c r="M70" s="2">
        <v>0</v>
      </c>
      <c r="N70" s="2">
        <v>0</v>
      </c>
      <c r="O70" s="2">
        <v>1197</v>
      </c>
      <c r="P70" s="2">
        <v>-792</v>
      </c>
      <c r="Q70" s="2">
        <v>456</v>
      </c>
      <c r="R70" s="2">
        <v>829</v>
      </c>
      <c r="S70" s="2">
        <v>2065</v>
      </c>
      <c r="T70" s="2">
        <f t="shared" ref="T70:T133" si="10">((A70-5328)*$AJ$4*$AI$4/100)/(1-(1+$AI$4/100)^-$AF$4)</f>
        <v>1693.0986203760685</v>
      </c>
      <c r="U70" s="2">
        <f t="shared" ref="U70:U133" si="11">(ROUND(0.000312745*B70*10^6/3.2, 0)*$AL$4*$AI$4/100)/(1-(1+$AI$4/100)^-$AG$4)</f>
        <v>307.2494283072291</v>
      </c>
      <c r="V70" s="2">
        <f t="shared" ref="V70:V133" si="12">(ROUND(0.000312745*B70*10^6/3.2, 0)*$AN$4*$AI$4/100)/(1-(1+$AI$4/100)^-$AH$4)</f>
        <v>134.50316812431072</v>
      </c>
      <c r="W70" s="2">
        <f t="shared" ref="W70:W133" si="13">T70+U70+V70</f>
        <v>2134.8512168076086</v>
      </c>
      <c r="X70" s="2">
        <v>-9.3279999999999994</v>
      </c>
      <c r="Y70" s="2">
        <f t="shared" ref="Y70:Y133" si="14">Q70+R70+S70+W70</f>
        <v>5484.8512168076086</v>
      </c>
      <c r="Z70" s="2">
        <f t="shared" ref="Z70:Z133" si="15">(A70-5328)*$AJ$4</f>
        <v>26449.722000000002</v>
      </c>
      <c r="AA70">
        <f t="shared" ref="AA70:AA133" si="16">ROUND(0.000312745*B70*10^6/3.2, 0)*$AL$4</f>
        <v>4175.62</v>
      </c>
      <c r="AB70">
        <f t="shared" ref="AB70:AB133" si="17">ROUND(0.000312745*B70*10^6/3.2, 0)*$AN$4</f>
        <v>3296</v>
      </c>
    </row>
    <row r="71" spans="1:28" x14ac:dyDescent="0.25">
      <c r="A71" s="2">
        <v>11921</v>
      </c>
      <c r="B71" s="2">
        <v>10.5125912070854</v>
      </c>
      <c r="C71" s="2">
        <v>20.059999999999999</v>
      </c>
      <c r="D71" s="2">
        <f t="shared" si="9"/>
        <v>40.56</v>
      </c>
      <c r="E71" s="2">
        <v>2.48</v>
      </c>
      <c r="F71" s="2">
        <v>18.95</v>
      </c>
      <c r="G71" s="2">
        <v>0</v>
      </c>
      <c r="H71" s="2">
        <v>0</v>
      </c>
      <c r="I71" s="2">
        <v>0</v>
      </c>
      <c r="J71" s="2">
        <v>0</v>
      </c>
      <c r="K71" s="2">
        <v>15.5374087929145</v>
      </c>
      <c r="L71" s="2">
        <v>22.196298275592198</v>
      </c>
      <c r="M71" s="2">
        <v>0</v>
      </c>
      <c r="N71" s="2">
        <v>0</v>
      </c>
      <c r="O71" s="2">
        <v>1199</v>
      </c>
      <c r="P71" s="2">
        <v>-789</v>
      </c>
      <c r="Q71" s="2">
        <v>461</v>
      </c>
      <c r="R71" s="2">
        <v>828</v>
      </c>
      <c r="S71" s="2">
        <v>2065</v>
      </c>
      <c r="T71" s="2">
        <f t="shared" si="10"/>
        <v>1678.8388034500556</v>
      </c>
      <c r="U71" s="2">
        <f t="shared" si="11"/>
        <v>306.35452705973239</v>
      </c>
      <c r="V71" s="2">
        <f t="shared" si="12"/>
        <v>134.11141132394866</v>
      </c>
      <c r="W71" s="2">
        <f t="shared" si="13"/>
        <v>2119.3047418337364</v>
      </c>
      <c r="X71" s="2">
        <v>-9.2799999999999994</v>
      </c>
      <c r="Y71" s="2">
        <f t="shared" si="14"/>
        <v>5473.3047418337364</v>
      </c>
      <c r="Z71" s="2">
        <f t="shared" si="15"/>
        <v>26226.954000000002</v>
      </c>
      <c r="AA71">
        <f t="shared" si="16"/>
        <v>4163.4580000000005</v>
      </c>
      <c r="AB71">
        <f t="shared" si="17"/>
        <v>3286.4</v>
      </c>
    </row>
    <row r="72" spans="1:28" x14ac:dyDescent="0.25">
      <c r="A72" s="2">
        <v>11913</v>
      </c>
      <c r="B72" s="2">
        <v>10.5377330622645</v>
      </c>
      <c r="C72" s="2">
        <v>20.04</v>
      </c>
      <c r="D72" s="2">
        <f t="shared" si="9"/>
        <v>40.54</v>
      </c>
      <c r="E72" s="2">
        <v>2.48</v>
      </c>
      <c r="F72" s="2">
        <v>18.940000000000001</v>
      </c>
      <c r="G72" s="2">
        <v>0</v>
      </c>
      <c r="H72" s="2">
        <v>0</v>
      </c>
      <c r="I72" s="2">
        <v>0</v>
      </c>
      <c r="J72" s="2">
        <v>0</v>
      </c>
      <c r="K72" s="2">
        <v>15.512266937735401</v>
      </c>
      <c r="L72" s="2">
        <v>22.160381339622099</v>
      </c>
      <c r="M72" s="2">
        <v>0</v>
      </c>
      <c r="N72" s="2">
        <v>0</v>
      </c>
      <c r="O72" s="2">
        <v>1197</v>
      </c>
      <c r="P72" s="2">
        <v>-788</v>
      </c>
      <c r="Q72" s="2">
        <v>460</v>
      </c>
      <c r="R72" s="2">
        <v>828</v>
      </c>
      <c r="S72" s="2">
        <v>2065</v>
      </c>
      <c r="T72" s="2">
        <f t="shared" si="10"/>
        <v>1676.8016867463393</v>
      </c>
      <c r="U72" s="2">
        <f t="shared" si="11"/>
        <v>307.2494283072291</v>
      </c>
      <c r="V72" s="2">
        <f t="shared" si="12"/>
        <v>134.50316812431072</v>
      </c>
      <c r="W72" s="2">
        <f t="shared" si="13"/>
        <v>2118.5542831778794</v>
      </c>
      <c r="X72" s="2">
        <v>-9.2680000000000007</v>
      </c>
      <c r="Y72" s="2">
        <f t="shared" si="14"/>
        <v>5471.5542831778794</v>
      </c>
      <c r="Z72" s="2">
        <f t="shared" si="15"/>
        <v>26195.13</v>
      </c>
      <c r="AA72">
        <f t="shared" si="16"/>
        <v>4175.62</v>
      </c>
      <c r="AB72">
        <f t="shared" si="17"/>
        <v>3296</v>
      </c>
    </row>
    <row r="73" spans="1:28" x14ac:dyDescent="0.25">
      <c r="A73" s="2">
        <v>11822</v>
      </c>
      <c r="B73" s="2">
        <v>10.539688364652299</v>
      </c>
      <c r="C73" s="2">
        <v>19.89</v>
      </c>
      <c r="D73" s="2">
        <f t="shared" si="9"/>
        <v>40.39</v>
      </c>
      <c r="E73" s="2">
        <v>2.5</v>
      </c>
      <c r="F73" s="2">
        <v>18.8</v>
      </c>
      <c r="G73" s="2">
        <v>0</v>
      </c>
      <c r="H73" s="2">
        <v>0</v>
      </c>
      <c r="I73" s="2">
        <v>0</v>
      </c>
      <c r="J73" s="2">
        <v>0</v>
      </c>
      <c r="K73" s="2">
        <v>15.5103116353476</v>
      </c>
      <c r="L73" s="2">
        <v>22.157588050496599</v>
      </c>
      <c r="M73" s="2">
        <v>0</v>
      </c>
      <c r="N73" s="2">
        <v>0</v>
      </c>
      <c r="O73" s="2">
        <v>1197</v>
      </c>
      <c r="P73" s="2">
        <v>-782</v>
      </c>
      <c r="Q73" s="2">
        <v>466</v>
      </c>
      <c r="R73" s="2">
        <v>825</v>
      </c>
      <c r="S73" s="2">
        <v>2065</v>
      </c>
      <c r="T73" s="2">
        <f t="shared" si="10"/>
        <v>1653.6294842415684</v>
      </c>
      <c r="U73" s="2">
        <f t="shared" si="11"/>
        <v>307.2494283072291</v>
      </c>
      <c r="V73" s="2">
        <f t="shared" si="12"/>
        <v>134.50316812431072</v>
      </c>
      <c r="W73" s="2">
        <f t="shared" si="13"/>
        <v>2095.3820806731082</v>
      </c>
      <c r="X73" s="2">
        <v>-9.1809999999999992</v>
      </c>
      <c r="Y73" s="2">
        <f t="shared" si="14"/>
        <v>5451.3820806731082</v>
      </c>
      <c r="Z73" s="2">
        <f t="shared" si="15"/>
        <v>25833.132000000001</v>
      </c>
      <c r="AA73">
        <f t="shared" si="16"/>
        <v>4175.62</v>
      </c>
      <c r="AB73">
        <f t="shared" si="17"/>
        <v>3296</v>
      </c>
    </row>
    <row r="74" spans="1:28" x14ac:dyDescent="0.25">
      <c r="A74" s="2">
        <v>11805</v>
      </c>
      <c r="B74" s="2">
        <v>10.5100001591563</v>
      </c>
      <c r="C74" s="2">
        <v>19.86</v>
      </c>
      <c r="D74" s="2">
        <f t="shared" si="9"/>
        <v>40.36</v>
      </c>
      <c r="E74" s="2">
        <v>2.5</v>
      </c>
      <c r="F74" s="2">
        <v>18.78</v>
      </c>
      <c r="G74" s="2">
        <v>0</v>
      </c>
      <c r="H74" s="2">
        <v>0</v>
      </c>
      <c r="I74" s="2">
        <v>0</v>
      </c>
      <c r="J74" s="2">
        <v>0</v>
      </c>
      <c r="K74" s="2">
        <v>15.539999840843601</v>
      </c>
      <c r="L74" s="2">
        <v>22.199999772633699</v>
      </c>
      <c r="M74" s="2">
        <v>0</v>
      </c>
      <c r="N74" s="2">
        <v>0</v>
      </c>
      <c r="O74" s="2">
        <v>1199</v>
      </c>
      <c r="P74" s="2">
        <v>-781</v>
      </c>
      <c r="Q74" s="2">
        <v>469</v>
      </c>
      <c r="R74" s="2">
        <v>825</v>
      </c>
      <c r="S74" s="2">
        <v>2065</v>
      </c>
      <c r="T74" s="2">
        <f t="shared" si="10"/>
        <v>1649.3006112461717</v>
      </c>
      <c r="U74" s="2">
        <f t="shared" si="11"/>
        <v>306.35452705973239</v>
      </c>
      <c r="V74" s="2">
        <f t="shared" si="12"/>
        <v>134.11141132394866</v>
      </c>
      <c r="W74" s="2">
        <f t="shared" si="13"/>
        <v>2089.7665496298528</v>
      </c>
      <c r="X74" s="2">
        <v>-9.17</v>
      </c>
      <c r="Y74" s="2">
        <f t="shared" si="14"/>
        <v>5448.7665496298523</v>
      </c>
      <c r="Z74" s="2">
        <f t="shared" si="15"/>
        <v>25765.506000000001</v>
      </c>
      <c r="AA74">
        <f t="shared" si="16"/>
        <v>4163.4580000000005</v>
      </c>
      <c r="AB74">
        <f t="shared" si="17"/>
        <v>3286.4</v>
      </c>
    </row>
    <row r="75" spans="1:28" x14ac:dyDescent="0.25">
      <c r="A75" s="2">
        <v>11686</v>
      </c>
      <c r="B75" s="2">
        <v>10.5928866121076</v>
      </c>
      <c r="C75" s="2">
        <v>19.66</v>
      </c>
      <c r="D75" s="2">
        <f t="shared" si="9"/>
        <v>40.159999999999997</v>
      </c>
      <c r="E75" s="2">
        <v>2.54</v>
      </c>
      <c r="F75" s="2">
        <v>18.59</v>
      </c>
      <c r="G75" s="2">
        <v>0</v>
      </c>
      <c r="H75" s="2">
        <v>0</v>
      </c>
      <c r="I75" s="2">
        <v>0</v>
      </c>
      <c r="J75" s="2">
        <v>0</v>
      </c>
      <c r="K75" s="2">
        <v>15.457113387892299</v>
      </c>
      <c r="L75" s="2">
        <v>22.0815905541318</v>
      </c>
      <c r="M75" s="2">
        <v>0</v>
      </c>
      <c r="N75" s="2">
        <v>0</v>
      </c>
      <c r="O75" s="2">
        <v>1192</v>
      </c>
      <c r="P75" s="2">
        <v>-771</v>
      </c>
      <c r="Q75" s="2">
        <v>472</v>
      </c>
      <c r="R75" s="2">
        <v>822</v>
      </c>
      <c r="S75" s="2">
        <v>2067</v>
      </c>
      <c r="T75" s="2">
        <f t="shared" si="10"/>
        <v>1618.9985002783942</v>
      </c>
      <c r="U75" s="2">
        <f t="shared" si="11"/>
        <v>308.7409303863904</v>
      </c>
      <c r="V75" s="2">
        <f t="shared" si="12"/>
        <v>135.15609612491414</v>
      </c>
      <c r="W75" s="2">
        <f t="shared" si="13"/>
        <v>2062.8955267896986</v>
      </c>
      <c r="X75" s="2">
        <v>-9.0429999999999993</v>
      </c>
      <c r="Y75" s="2">
        <f t="shared" si="14"/>
        <v>5423.8955267896981</v>
      </c>
      <c r="Z75" s="2">
        <f t="shared" si="15"/>
        <v>25292.124</v>
      </c>
      <c r="AA75">
        <f t="shared" si="16"/>
        <v>4195.8900000000003</v>
      </c>
      <c r="AB75">
        <f t="shared" si="17"/>
        <v>3312</v>
      </c>
    </row>
    <row r="76" spans="1:28" x14ac:dyDescent="0.25">
      <c r="A76" s="2">
        <v>11670</v>
      </c>
      <c r="B76" s="2">
        <v>10.5112605378526</v>
      </c>
      <c r="C76" s="2">
        <v>19.63</v>
      </c>
      <c r="D76" s="2">
        <f t="shared" si="9"/>
        <v>40.129999999999995</v>
      </c>
      <c r="E76" s="2">
        <v>2.5299999999999998</v>
      </c>
      <c r="F76" s="2">
        <v>18.579999999999998</v>
      </c>
      <c r="G76" s="2">
        <v>0</v>
      </c>
      <c r="H76" s="2">
        <v>0</v>
      </c>
      <c r="I76" s="2">
        <v>0</v>
      </c>
      <c r="J76" s="2">
        <v>0</v>
      </c>
      <c r="K76" s="2">
        <v>15.5387394621473</v>
      </c>
      <c r="L76" s="2">
        <v>22.198199231638998</v>
      </c>
      <c r="M76" s="2">
        <v>0</v>
      </c>
      <c r="N76" s="2">
        <v>0</v>
      </c>
      <c r="O76" s="2">
        <v>1199</v>
      </c>
      <c r="P76" s="2">
        <v>-772</v>
      </c>
      <c r="Q76" s="2">
        <v>478</v>
      </c>
      <c r="R76" s="2">
        <v>822</v>
      </c>
      <c r="S76" s="2">
        <v>2065</v>
      </c>
      <c r="T76" s="2">
        <f t="shared" si="10"/>
        <v>1614.9242668709621</v>
      </c>
      <c r="U76" s="2">
        <f t="shared" si="11"/>
        <v>306.35452705973239</v>
      </c>
      <c r="V76" s="2">
        <f t="shared" si="12"/>
        <v>134.11141132394866</v>
      </c>
      <c r="W76" s="2">
        <f t="shared" si="13"/>
        <v>2055.3902052546432</v>
      </c>
      <c r="X76" s="2">
        <v>-9.0419999999999998</v>
      </c>
      <c r="Y76" s="2">
        <f t="shared" si="14"/>
        <v>5420.3902052546437</v>
      </c>
      <c r="Z76" s="2">
        <f t="shared" si="15"/>
        <v>25228.476000000002</v>
      </c>
      <c r="AA76">
        <f t="shared" si="16"/>
        <v>4163.4580000000005</v>
      </c>
      <c r="AB76">
        <f t="shared" si="17"/>
        <v>3286.4</v>
      </c>
    </row>
    <row r="77" spans="1:28" x14ac:dyDescent="0.25">
      <c r="A77" s="2">
        <v>11563</v>
      </c>
      <c r="B77" s="2">
        <v>10.5184523647206</v>
      </c>
      <c r="C77" s="2">
        <v>19.45</v>
      </c>
      <c r="D77" s="2">
        <f t="shared" si="9"/>
        <v>39.950000000000003</v>
      </c>
      <c r="E77" s="2">
        <v>2.5499999999999998</v>
      </c>
      <c r="F77" s="2">
        <v>18.420000000000002</v>
      </c>
      <c r="G77" s="2">
        <v>0</v>
      </c>
      <c r="H77" s="2">
        <v>0</v>
      </c>
      <c r="I77" s="2">
        <v>0</v>
      </c>
      <c r="J77" s="2">
        <v>0</v>
      </c>
      <c r="K77" s="2">
        <v>15.531547635279299</v>
      </c>
      <c r="L77" s="2">
        <v>22.187925193256198</v>
      </c>
      <c r="M77" s="2">
        <v>0</v>
      </c>
      <c r="N77" s="2">
        <v>0</v>
      </c>
      <c r="O77" s="2">
        <v>1198</v>
      </c>
      <c r="P77" s="2">
        <v>-764</v>
      </c>
      <c r="Q77" s="2">
        <v>485</v>
      </c>
      <c r="R77" s="2">
        <v>819</v>
      </c>
      <c r="S77" s="2">
        <v>2065</v>
      </c>
      <c r="T77" s="2">
        <f t="shared" si="10"/>
        <v>1587.6778309587589</v>
      </c>
      <c r="U77" s="2">
        <f t="shared" si="11"/>
        <v>306.65282747556466</v>
      </c>
      <c r="V77" s="2">
        <f t="shared" si="12"/>
        <v>134.24199692406933</v>
      </c>
      <c r="W77" s="2">
        <f t="shared" si="13"/>
        <v>2028.5726553583929</v>
      </c>
      <c r="X77" s="2">
        <v>-8.9390000000000001</v>
      </c>
      <c r="Y77" s="2">
        <f t="shared" si="14"/>
        <v>5397.5726553583927</v>
      </c>
      <c r="Z77" s="2">
        <f t="shared" si="15"/>
        <v>24802.83</v>
      </c>
      <c r="AA77">
        <f t="shared" si="16"/>
        <v>4167.5120000000006</v>
      </c>
      <c r="AB77">
        <f t="shared" si="17"/>
        <v>3289.6000000000004</v>
      </c>
    </row>
    <row r="78" spans="1:28" x14ac:dyDescent="0.25">
      <c r="A78" s="2">
        <v>11563</v>
      </c>
      <c r="B78" s="2">
        <v>10.5183999708662</v>
      </c>
      <c r="C78" s="2">
        <v>19.45</v>
      </c>
      <c r="D78" s="2">
        <f t="shared" si="9"/>
        <v>39.950000000000003</v>
      </c>
      <c r="E78" s="2">
        <v>2.5499999999999998</v>
      </c>
      <c r="F78" s="2">
        <v>18.420000000000002</v>
      </c>
      <c r="G78" s="2">
        <v>0</v>
      </c>
      <c r="H78" s="2">
        <v>0</v>
      </c>
      <c r="I78" s="2">
        <v>0</v>
      </c>
      <c r="J78" s="2">
        <v>0</v>
      </c>
      <c r="K78" s="2">
        <v>15.531600029133701</v>
      </c>
      <c r="L78" s="2">
        <v>22.188000041619699</v>
      </c>
      <c r="M78" s="2">
        <v>0</v>
      </c>
      <c r="N78" s="2">
        <v>0</v>
      </c>
      <c r="O78" s="2">
        <v>1198</v>
      </c>
      <c r="P78" s="2">
        <v>-764</v>
      </c>
      <c r="Q78" s="2">
        <v>485</v>
      </c>
      <c r="R78" s="2">
        <v>819</v>
      </c>
      <c r="S78" s="2">
        <v>2065</v>
      </c>
      <c r="T78" s="2">
        <f t="shared" si="10"/>
        <v>1587.6778309587589</v>
      </c>
      <c r="U78" s="2">
        <f t="shared" si="11"/>
        <v>306.65282747556466</v>
      </c>
      <c r="V78" s="2">
        <f t="shared" si="12"/>
        <v>134.24199692406933</v>
      </c>
      <c r="W78" s="2">
        <f t="shared" si="13"/>
        <v>2028.5726553583929</v>
      </c>
      <c r="X78" s="2">
        <v>-8.9390000000000001</v>
      </c>
      <c r="Y78" s="2">
        <f t="shared" si="14"/>
        <v>5397.5726553583927</v>
      </c>
      <c r="Z78" s="2">
        <f t="shared" si="15"/>
        <v>24802.83</v>
      </c>
      <c r="AA78">
        <f t="shared" si="16"/>
        <v>4167.5120000000006</v>
      </c>
      <c r="AB78">
        <f t="shared" si="17"/>
        <v>3289.6000000000004</v>
      </c>
    </row>
    <row r="79" spans="1:28" x14ac:dyDescent="0.25">
      <c r="A79" s="2">
        <v>11496</v>
      </c>
      <c r="B79" s="2">
        <v>10.5867116866276</v>
      </c>
      <c r="C79" s="2">
        <v>19.34</v>
      </c>
      <c r="D79" s="2">
        <f t="shared" si="9"/>
        <v>39.840000000000003</v>
      </c>
      <c r="E79" s="2">
        <v>2.58</v>
      </c>
      <c r="F79" s="2">
        <v>18.32</v>
      </c>
      <c r="G79" s="2">
        <v>0</v>
      </c>
      <c r="H79" s="2">
        <v>0</v>
      </c>
      <c r="I79" s="2">
        <v>0</v>
      </c>
      <c r="J79" s="2">
        <v>0</v>
      </c>
      <c r="K79" s="2">
        <v>15.463288313372299</v>
      </c>
      <c r="L79" s="2">
        <v>22.090411876246101</v>
      </c>
      <c r="M79" s="2">
        <v>0</v>
      </c>
      <c r="N79" s="2">
        <v>0</v>
      </c>
      <c r="O79" s="2">
        <v>1193</v>
      </c>
      <c r="P79" s="2">
        <v>-758</v>
      </c>
      <c r="Q79" s="2">
        <v>486</v>
      </c>
      <c r="R79" s="2">
        <v>817</v>
      </c>
      <c r="S79" s="2">
        <v>2066</v>
      </c>
      <c r="T79" s="2">
        <f t="shared" si="10"/>
        <v>1570.6169785651362</v>
      </c>
      <c r="U79" s="2">
        <f t="shared" si="11"/>
        <v>308.7409303863904</v>
      </c>
      <c r="V79" s="2">
        <f t="shared" si="12"/>
        <v>135.15609612491414</v>
      </c>
      <c r="W79" s="2">
        <f t="shared" si="13"/>
        <v>2014.5140050764408</v>
      </c>
      <c r="X79" s="2">
        <v>-8.8640000000000008</v>
      </c>
      <c r="Y79" s="2">
        <f t="shared" si="14"/>
        <v>5383.5140050764403</v>
      </c>
      <c r="Z79" s="2">
        <f t="shared" si="15"/>
        <v>24536.304</v>
      </c>
      <c r="AA79">
        <f t="shared" si="16"/>
        <v>4195.8900000000003</v>
      </c>
      <c r="AB79">
        <f t="shared" si="17"/>
        <v>3312</v>
      </c>
    </row>
    <row r="80" spans="1:28" x14ac:dyDescent="0.25">
      <c r="A80" s="2">
        <v>11448</v>
      </c>
      <c r="B80" s="2">
        <v>10.512678620081299</v>
      </c>
      <c r="C80" s="2">
        <v>19.260000000000002</v>
      </c>
      <c r="D80" s="2">
        <f t="shared" si="9"/>
        <v>39.760000000000005</v>
      </c>
      <c r="E80" s="2">
        <v>2.58</v>
      </c>
      <c r="F80" s="2">
        <v>18.260000000000002</v>
      </c>
      <c r="G80" s="2">
        <v>0</v>
      </c>
      <c r="H80" s="2">
        <v>0</v>
      </c>
      <c r="I80" s="2">
        <v>0</v>
      </c>
      <c r="J80" s="2">
        <v>0</v>
      </c>
      <c r="K80" s="2">
        <v>15.5373213799186</v>
      </c>
      <c r="L80" s="2">
        <v>22.196173399883701</v>
      </c>
      <c r="M80" s="2">
        <v>0</v>
      </c>
      <c r="N80" s="2">
        <v>0</v>
      </c>
      <c r="O80" s="2">
        <v>1199</v>
      </c>
      <c r="P80" s="2">
        <v>-756</v>
      </c>
      <c r="Q80" s="2">
        <v>494</v>
      </c>
      <c r="R80" s="2">
        <v>816</v>
      </c>
      <c r="S80" s="2">
        <v>2065</v>
      </c>
      <c r="T80" s="2">
        <f t="shared" si="10"/>
        <v>1558.3942783428392</v>
      </c>
      <c r="U80" s="2">
        <f t="shared" si="11"/>
        <v>306.35452705973239</v>
      </c>
      <c r="V80" s="2">
        <f t="shared" si="12"/>
        <v>134.11141132394866</v>
      </c>
      <c r="W80" s="2">
        <f t="shared" si="13"/>
        <v>1998.8602167265203</v>
      </c>
      <c r="X80" s="2">
        <v>-8.8309999999999995</v>
      </c>
      <c r="Y80" s="2">
        <f t="shared" si="14"/>
        <v>5373.8602167265199</v>
      </c>
      <c r="Z80" s="2">
        <f t="shared" si="15"/>
        <v>24345.360000000001</v>
      </c>
      <c r="AA80">
        <f t="shared" si="16"/>
        <v>4163.4580000000005</v>
      </c>
      <c r="AB80">
        <f t="shared" si="17"/>
        <v>3286.4</v>
      </c>
    </row>
    <row r="81" spans="1:30" x14ac:dyDescent="0.25">
      <c r="A81" s="2">
        <v>11403</v>
      </c>
      <c r="B81" s="2">
        <v>10.5181720807924</v>
      </c>
      <c r="C81" s="2">
        <v>19.190000000000001</v>
      </c>
      <c r="D81" s="2">
        <f t="shared" si="9"/>
        <v>39.69</v>
      </c>
      <c r="E81" s="2">
        <v>2.59</v>
      </c>
      <c r="F81" s="2">
        <v>18.190000000000001</v>
      </c>
      <c r="G81" s="2">
        <v>0</v>
      </c>
      <c r="H81" s="2">
        <v>0</v>
      </c>
      <c r="I81" s="2">
        <v>0</v>
      </c>
      <c r="J81" s="2">
        <v>0</v>
      </c>
      <c r="K81" s="2">
        <v>15.531827919207499</v>
      </c>
      <c r="L81" s="2">
        <v>22.188325598867898</v>
      </c>
      <c r="M81" s="2">
        <v>0</v>
      </c>
      <c r="N81" s="2">
        <v>0</v>
      </c>
      <c r="O81" s="2">
        <v>1198</v>
      </c>
      <c r="P81" s="2">
        <v>-753</v>
      </c>
      <c r="Q81" s="2">
        <v>497</v>
      </c>
      <c r="R81" s="2">
        <v>815</v>
      </c>
      <c r="S81" s="2">
        <v>2065</v>
      </c>
      <c r="T81" s="2">
        <f t="shared" si="10"/>
        <v>1546.9354968844364</v>
      </c>
      <c r="U81" s="2">
        <f t="shared" si="11"/>
        <v>306.65282747556466</v>
      </c>
      <c r="V81" s="2">
        <f t="shared" si="12"/>
        <v>134.24199692406933</v>
      </c>
      <c r="W81" s="2">
        <f t="shared" si="13"/>
        <v>1987.8303212840704</v>
      </c>
      <c r="X81" s="2">
        <v>-8.7880000000000003</v>
      </c>
      <c r="Y81" s="2">
        <f t="shared" si="14"/>
        <v>5364.8303212840701</v>
      </c>
      <c r="Z81" s="2">
        <f t="shared" si="15"/>
        <v>24166.350000000002</v>
      </c>
      <c r="AA81">
        <f t="shared" si="16"/>
        <v>4167.5120000000006</v>
      </c>
      <c r="AB81">
        <f t="shared" si="17"/>
        <v>3289.6000000000004</v>
      </c>
    </row>
    <row r="82" spans="1:30" x14ac:dyDescent="0.25">
      <c r="A82" s="2">
        <v>11332</v>
      </c>
      <c r="B82" s="2">
        <v>10.5469802542558</v>
      </c>
      <c r="C82" s="2">
        <v>19.07</v>
      </c>
      <c r="D82" s="2">
        <f t="shared" si="9"/>
        <v>39.57</v>
      </c>
      <c r="E82" s="2">
        <v>2.61</v>
      </c>
      <c r="F82" s="2">
        <v>18.079999999999998</v>
      </c>
      <c r="G82" s="2">
        <v>0</v>
      </c>
      <c r="H82" s="2">
        <v>0</v>
      </c>
      <c r="I82" s="2">
        <v>0</v>
      </c>
      <c r="J82" s="2">
        <v>0</v>
      </c>
      <c r="K82" s="2">
        <v>15.503019745744099</v>
      </c>
      <c r="L82" s="2">
        <v>22.1471710653488</v>
      </c>
      <c r="M82" s="2">
        <v>0</v>
      </c>
      <c r="N82" s="2">
        <v>0</v>
      </c>
      <c r="O82" s="2">
        <v>1196</v>
      </c>
      <c r="P82" s="2">
        <v>-747</v>
      </c>
      <c r="Q82" s="2">
        <v>500</v>
      </c>
      <c r="R82" s="2">
        <v>813</v>
      </c>
      <c r="S82" s="2">
        <v>2066</v>
      </c>
      <c r="T82" s="2">
        <f t="shared" si="10"/>
        <v>1528.8560861389556</v>
      </c>
      <c r="U82" s="2">
        <f t="shared" si="11"/>
        <v>307.54772872306137</v>
      </c>
      <c r="V82" s="2">
        <f t="shared" si="12"/>
        <v>134.63375372443141</v>
      </c>
      <c r="W82" s="2">
        <f t="shared" si="13"/>
        <v>1971.0375685864485</v>
      </c>
      <c r="X82" s="2">
        <v>-8.7149999999999999</v>
      </c>
      <c r="Y82" s="2">
        <f t="shared" si="14"/>
        <v>5350.0375685864483</v>
      </c>
      <c r="Z82" s="2">
        <f t="shared" si="15"/>
        <v>23883.912</v>
      </c>
      <c r="AA82">
        <f t="shared" si="16"/>
        <v>4179.674</v>
      </c>
      <c r="AB82">
        <f t="shared" si="17"/>
        <v>3299.2000000000003</v>
      </c>
    </row>
    <row r="83" spans="1:30" x14ac:dyDescent="0.25">
      <c r="A83" s="2">
        <v>11315</v>
      </c>
      <c r="B83" s="2">
        <v>10.620082069154799</v>
      </c>
      <c r="C83" s="2">
        <v>19.04</v>
      </c>
      <c r="D83" s="2">
        <f t="shared" si="9"/>
        <v>39.54</v>
      </c>
      <c r="E83" s="2">
        <v>2.62</v>
      </c>
      <c r="F83" s="2">
        <v>18.05</v>
      </c>
      <c r="G83" s="2">
        <v>0</v>
      </c>
      <c r="H83" s="2">
        <v>0</v>
      </c>
      <c r="I83" s="2">
        <v>0</v>
      </c>
      <c r="J83" s="2">
        <v>0</v>
      </c>
      <c r="K83" s="2">
        <v>15.4299179308451</v>
      </c>
      <c r="L83" s="2">
        <v>22.042739901207401</v>
      </c>
      <c r="M83" s="2">
        <v>0</v>
      </c>
      <c r="N83" s="2">
        <v>0</v>
      </c>
      <c r="O83" s="2">
        <v>1190</v>
      </c>
      <c r="P83" s="2">
        <v>-745</v>
      </c>
      <c r="Q83" s="2">
        <v>497</v>
      </c>
      <c r="R83" s="2">
        <v>812</v>
      </c>
      <c r="S83" s="2">
        <v>2067</v>
      </c>
      <c r="T83" s="2">
        <f t="shared" si="10"/>
        <v>1524.5272131435586</v>
      </c>
      <c r="U83" s="2">
        <f t="shared" si="11"/>
        <v>309.63583163388728</v>
      </c>
      <c r="V83" s="2">
        <f t="shared" si="12"/>
        <v>135.54785292527623</v>
      </c>
      <c r="W83" s="2">
        <f t="shared" si="13"/>
        <v>1969.7108977027221</v>
      </c>
      <c r="X83" s="2">
        <v>-8.6859999999999999</v>
      </c>
      <c r="Y83" s="2">
        <f t="shared" si="14"/>
        <v>5345.7108977027219</v>
      </c>
      <c r="Z83" s="2">
        <f t="shared" si="15"/>
        <v>23816.286</v>
      </c>
      <c r="AA83">
        <f t="shared" si="16"/>
        <v>4208.0520000000006</v>
      </c>
      <c r="AB83">
        <f t="shared" si="17"/>
        <v>3321.6000000000004</v>
      </c>
    </row>
    <row r="84" spans="1:30" x14ac:dyDescent="0.25">
      <c r="A84" s="2">
        <v>11275</v>
      </c>
      <c r="B84" s="2">
        <v>10.5407451324836</v>
      </c>
      <c r="C84" s="2">
        <v>18.97</v>
      </c>
      <c r="D84" s="2">
        <f t="shared" si="9"/>
        <v>39.47</v>
      </c>
      <c r="E84" s="2">
        <v>2.62</v>
      </c>
      <c r="F84" s="2">
        <v>18</v>
      </c>
      <c r="G84" s="2">
        <v>0</v>
      </c>
      <c r="H84" s="2">
        <v>0</v>
      </c>
      <c r="I84" s="2">
        <v>0</v>
      </c>
      <c r="J84" s="2">
        <v>0</v>
      </c>
      <c r="K84" s="2">
        <v>15.509254867516299</v>
      </c>
      <c r="L84" s="2">
        <v>22.1560783821661</v>
      </c>
      <c r="M84" s="2">
        <v>0</v>
      </c>
      <c r="N84" s="2">
        <v>0</v>
      </c>
      <c r="O84" s="2">
        <v>1196</v>
      </c>
      <c r="P84" s="2">
        <v>-743</v>
      </c>
      <c r="Q84" s="2">
        <v>504</v>
      </c>
      <c r="R84" s="2">
        <v>812</v>
      </c>
      <c r="S84" s="2">
        <v>2065</v>
      </c>
      <c r="T84" s="2">
        <f t="shared" si="10"/>
        <v>1514.3416296249782</v>
      </c>
      <c r="U84" s="2">
        <f t="shared" si="11"/>
        <v>307.2494283072291</v>
      </c>
      <c r="V84" s="2">
        <f t="shared" si="12"/>
        <v>134.50316812431072</v>
      </c>
      <c r="W84" s="2">
        <f t="shared" si="13"/>
        <v>1956.094226056518</v>
      </c>
      <c r="X84" s="2">
        <v>-8.6620000000000008</v>
      </c>
      <c r="Y84" s="2">
        <f t="shared" si="14"/>
        <v>5337.094226056518</v>
      </c>
      <c r="Z84" s="2">
        <f t="shared" si="15"/>
        <v>23657.166000000001</v>
      </c>
      <c r="AA84">
        <f t="shared" si="16"/>
        <v>4175.62</v>
      </c>
      <c r="AB84">
        <f t="shared" si="17"/>
        <v>3296</v>
      </c>
    </row>
    <row r="85" spans="1:30" x14ac:dyDescent="0.25">
      <c r="A85" s="2">
        <v>11190</v>
      </c>
      <c r="B85" s="2">
        <v>10.581348268095001</v>
      </c>
      <c r="C85" s="2">
        <v>18.829999999999998</v>
      </c>
      <c r="D85" s="2">
        <f t="shared" si="9"/>
        <v>39.33</v>
      </c>
      <c r="E85" s="2">
        <v>2.65</v>
      </c>
      <c r="F85" s="2">
        <v>17.87</v>
      </c>
      <c r="G85" s="2">
        <v>0</v>
      </c>
      <c r="H85" s="2">
        <v>0</v>
      </c>
      <c r="I85" s="2">
        <v>0</v>
      </c>
      <c r="J85" s="2">
        <v>0</v>
      </c>
      <c r="K85" s="2">
        <v>15.468651731904901</v>
      </c>
      <c r="L85" s="2">
        <v>22.0980739027213</v>
      </c>
      <c r="M85" s="2">
        <v>0</v>
      </c>
      <c r="N85" s="2">
        <v>0</v>
      </c>
      <c r="O85" s="2">
        <v>1193</v>
      </c>
      <c r="P85" s="2">
        <v>-737</v>
      </c>
      <c r="Q85" s="2">
        <v>508</v>
      </c>
      <c r="R85" s="2">
        <v>809</v>
      </c>
      <c r="S85" s="2">
        <v>2067</v>
      </c>
      <c r="T85" s="2">
        <f t="shared" si="10"/>
        <v>1492.6972646479942</v>
      </c>
      <c r="U85" s="2">
        <f t="shared" si="11"/>
        <v>308.44262997055813</v>
      </c>
      <c r="V85" s="2">
        <f t="shared" si="12"/>
        <v>135.02551052479348</v>
      </c>
      <c r="W85" s="2">
        <f t="shared" si="13"/>
        <v>1936.1654051433457</v>
      </c>
      <c r="X85" s="2">
        <v>-8.5749999999999993</v>
      </c>
      <c r="Y85" s="2">
        <f t="shared" si="14"/>
        <v>5320.1654051433452</v>
      </c>
      <c r="Z85" s="2">
        <f t="shared" si="15"/>
        <v>23319.036</v>
      </c>
      <c r="AA85">
        <f t="shared" si="16"/>
        <v>4191.8360000000002</v>
      </c>
      <c r="AB85">
        <f t="shared" si="17"/>
        <v>3308.8</v>
      </c>
    </row>
    <row r="86" spans="1:30" x14ac:dyDescent="0.25">
      <c r="A86" s="2">
        <v>11118</v>
      </c>
      <c r="B86" s="2">
        <v>10.5398507947342</v>
      </c>
      <c r="C86" s="2">
        <v>18.71</v>
      </c>
      <c r="D86" s="2">
        <f t="shared" si="9"/>
        <v>39.21</v>
      </c>
      <c r="E86" s="2">
        <v>2.65</v>
      </c>
      <c r="F86" s="2">
        <v>17.77</v>
      </c>
      <c r="G86" s="2">
        <v>0</v>
      </c>
      <c r="H86" s="2">
        <v>0</v>
      </c>
      <c r="I86" s="2">
        <v>0</v>
      </c>
      <c r="J86" s="2">
        <v>0</v>
      </c>
      <c r="K86" s="2">
        <v>15.5101492052657</v>
      </c>
      <c r="L86" s="2">
        <v>22.157356007522498</v>
      </c>
      <c r="M86" s="2">
        <v>0</v>
      </c>
      <c r="N86" s="2">
        <v>0</v>
      </c>
      <c r="O86" s="2">
        <v>1196</v>
      </c>
      <c r="P86" s="2">
        <v>-732</v>
      </c>
      <c r="Q86" s="2">
        <v>516</v>
      </c>
      <c r="R86" s="2">
        <v>808</v>
      </c>
      <c r="S86" s="2">
        <v>2065</v>
      </c>
      <c r="T86" s="2">
        <f t="shared" si="10"/>
        <v>1474.3632143145492</v>
      </c>
      <c r="U86" s="2">
        <f t="shared" si="11"/>
        <v>307.2494283072291</v>
      </c>
      <c r="V86" s="2">
        <f t="shared" si="12"/>
        <v>134.50316812431072</v>
      </c>
      <c r="W86" s="2">
        <f t="shared" si="13"/>
        <v>1916.1158107460892</v>
      </c>
      <c r="X86" s="2">
        <v>-8.5139999999999993</v>
      </c>
      <c r="Y86" s="2">
        <f t="shared" si="14"/>
        <v>5305.1158107460888</v>
      </c>
      <c r="Z86" s="2">
        <f t="shared" si="15"/>
        <v>23032.620000000003</v>
      </c>
      <c r="AA86">
        <f t="shared" si="16"/>
        <v>4175.62</v>
      </c>
      <c r="AB86">
        <f t="shared" si="17"/>
        <v>3296</v>
      </c>
    </row>
    <row r="87" spans="1:30" x14ac:dyDescent="0.25">
      <c r="A87" s="2">
        <v>11118</v>
      </c>
      <c r="B87" s="2">
        <v>10.5398507947342</v>
      </c>
      <c r="C87" s="2">
        <v>18.71</v>
      </c>
      <c r="D87" s="2">
        <f t="shared" si="9"/>
        <v>39.21</v>
      </c>
      <c r="E87" s="2">
        <v>2.65</v>
      </c>
      <c r="F87" s="2">
        <v>17.77</v>
      </c>
      <c r="G87" s="2">
        <v>0</v>
      </c>
      <c r="H87" s="2">
        <v>0</v>
      </c>
      <c r="I87" s="2">
        <v>0</v>
      </c>
      <c r="J87" s="2">
        <v>0</v>
      </c>
      <c r="K87" s="2">
        <v>15.5101492052657</v>
      </c>
      <c r="L87" s="2">
        <v>22.157356007522498</v>
      </c>
      <c r="M87" s="2">
        <v>0</v>
      </c>
      <c r="N87" s="2">
        <v>0</v>
      </c>
      <c r="O87" s="2">
        <v>1196</v>
      </c>
      <c r="P87" s="2">
        <v>-732</v>
      </c>
      <c r="Q87" s="2">
        <v>516</v>
      </c>
      <c r="R87" s="2">
        <v>808</v>
      </c>
      <c r="S87" s="2">
        <v>2065</v>
      </c>
      <c r="T87" s="2">
        <f t="shared" si="10"/>
        <v>1474.3632143145492</v>
      </c>
      <c r="U87" s="2">
        <f t="shared" si="11"/>
        <v>307.2494283072291</v>
      </c>
      <c r="V87" s="2">
        <f t="shared" si="12"/>
        <v>134.50316812431072</v>
      </c>
      <c r="W87" s="2">
        <f t="shared" si="13"/>
        <v>1916.1158107460892</v>
      </c>
      <c r="X87" s="2">
        <v>-8.5139999999999993</v>
      </c>
      <c r="Y87" s="2">
        <f t="shared" si="14"/>
        <v>5305.1158107460888</v>
      </c>
      <c r="Z87" s="2">
        <f t="shared" si="15"/>
        <v>23032.620000000003</v>
      </c>
      <c r="AA87">
        <f t="shared" si="16"/>
        <v>4175.62</v>
      </c>
      <c r="AB87">
        <f t="shared" si="17"/>
        <v>3296</v>
      </c>
    </row>
    <row r="88" spans="1:30" x14ac:dyDescent="0.25">
      <c r="A88" s="2">
        <v>11095</v>
      </c>
      <c r="B88" s="2">
        <v>10.5201488335645</v>
      </c>
      <c r="C88" s="2">
        <v>18.670000000000002</v>
      </c>
      <c r="D88" s="2">
        <f t="shared" si="9"/>
        <v>39.17</v>
      </c>
      <c r="E88" s="2">
        <v>2.66</v>
      </c>
      <c r="F88" s="2">
        <v>17.739999999999998</v>
      </c>
      <c r="G88" s="2">
        <v>0</v>
      </c>
      <c r="H88" s="2">
        <v>0</v>
      </c>
      <c r="I88" s="2">
        <v>0</v>
      </c>
      <c r="J88" s="2">
        <v>0</v>
      </c>
      <c r="K88" s="2">
        <v>15.5298511664354</v>
      </c>
      <c r="L88" s="2">
        <v>22.1855016663363</v>
      </c>
      <c r="M88" s="2">
        <v>0</v>
      </c>
      <c r="N88" s="2">
        <v>0</v>
      </c>
      <c r="O88" s="2">
        <v>1198</v>
      </c>
      <c r="P88" s="2">
        <v>-731</v>
      </c>
      <c r="Q88" s="2">
        <v>518</v>
      </c>
      <c r="R88" s="2">
        <v>807</v>
      </c>
      <c r="S88" s="2">
        <v>2065</v>
      </c>
      <c r="T88" s="2">
        <f t="shared" si="10"/>
        <v>1468.506503791365</v>
      </c>
      <c r="U88" s="2">
        <f t="shared" si="11"/>
        <v>306.65282747556466</v>
      </c>
      <c r="V88" s="2">
        <f t="shared" si="12"/>
        <v>134.24199692406933</v>
      </c>
      <c r="W88" s="2">
        <f t="shared" si="13"/>
        <v>1909.401328190999</v>
      </c>
      <c r="X88" s="2">
        <v>-8.4960000000000004</v>
      </c>
      <c r="Y88" s="2">
        <f t="shared" si="14"/>
        <v>5299.4013281909993</v>
      </c>
      <c r="Z88" s="2">
        <f t="shared" si="15"/>
        <v>22941.126</v>
      </c>
      <c r="AA88">
        <f t="shared" si="16"/>
        <v>4167.5120000000006</v>
      </c>
      <c r="AB88">
        <f t="shared" si="17"/>
        <v>3289.6000000000004</v>
      </c>
      <c r="AC88" s="2"/>
      <c r="AD88" s="2"/>
    </row>
    <row r="89" spans="1:30" x14ac:dyDescent="0.25">
      <c r="A89" s="2">
        <v>11058</v>
      </c>
      <c r="B89" s="2">
        <v>10.511908952028</v>
      </c>
      <c r="C89" s="2">
        <v>18.600000000000001</v>
      </c>
      <c r="D89" s="2">
        <f t="shared" si="9"/>
        <v>39.1</v>
      </c>
      <c r="E89" s="2">
        <v>2.66</v>
      </c>
      <c r="F89" s="2">
        <v>17.690000000000001</v>
      </c>
      <c r="G89" s="2">
        <v>0</v>
      </c>
      <c r="H89" s="2">
        <v>0</v>
      </c>
      <c r="I89" s="2">
        <v>0</v>
      </c>
      <c r="J89" s="2">
        <v>0</v>
      </c>
      <c r="K89" s="2">
        <v>15.5380910479719</v>
      </c>
      <c r="L89" s="2">
        <v>22.197272925674199</v>
      </c>
      <c r="M89" s="2">
        <v>0</v>
      </c>
      <c r="N89" s="2">
        <v>0</v>
      </c>
      <c r="O89" s="2">
        <v>1199</v>
      </c>
      <c r="P89" s="2">
        <v>-728</v>
      </c>
      <c r="Q89" s="2">
        <v>522</v>
      </c>
      <c r="R89" s="2">
        <v>806</v>
      </c>
      <c r="S89" s="2">
        <v>2064</v>
      </c>
      <c r="T89" s="2">
        <f t="shared" si="10"/>
        <v>1459.0848390366782</v>
      </c>
      <c r="U89" s="2">
        <f t="shared" si="11"/>
        <v>306.35452705973239</v>
      </c>
      <c r="V89" s="2">
        <f t="shared" si="12"/>
        <v>134.11141132394866</v>
      </c>
      <c r="W89" s="2">
        <f t="shared" si="13"/>
        <v>1899.5507774203593</v>
      </c>
      <c r="X89" s="2">
        <v>-8.4619999999999997</v>
      </c>
      <c r="Y89" s="2">
        <f t="shared" si="14"/>
        <v>5291.5507774203597</v>
      </c>
      <c r="Z89" s="2">
        <f t="shared" si="15"/>
        <v>22793.940000000002</v>
      </c>
      <c r="AA89">
        <f t="shared" si="16"/>
        <v>4163.4580000000005</v>
      </c>
      <c r="AB89">
        <f t="shared" si="17"/>
        <v>3286.4</v>
      </c>
    </row>
    <row r="90" spans="1:30" x14ac:dyDescent="0.25">
      <c r="A90" s="2">
        <v>11057</v>
      </c>
      <c r="B90" s="2">
        <v>10.5399402559623</v>
      </c>
      <c r="C90" s="2">
        <v>18.600000000000001</v>
      </c>
      <c r="D90" s="2">
        <f t="shared" si="9"/>
        <v>39.1</v>
      </c>
      <c r="E90" s="2">
        <v>2.67</v>
      </c>
      <c r="F90" s="2">
        <v>17.68</v>
      </c>
      <c r="G90" s="2">
        <v>0</v>
      </c>
      <c r="H90" s="2">
        <v>0</v>
      </c>
      <c r="I90" s="2">
        <v>0</v>
      </c>
      <c r="J90" s="2">
        <v>0</v>
      </c>
      <c r="K90" s="2">
        <v>15.5100597440376</v>
      </c>
      <c r="L90" s="2">
        <v>22.157228205768</v>
      </c>
      <c r="M90" s="2">
        <v>0</v>
      </c>
      <c r="N90" s="2">
        <v>0</v>
      </c>
      <c r="O90" s="2">
        <v>1196</v>
      </c>
      <c r="P90" s="2">
        <v>-728</v>
      </c>
      <c r="Q90" s="2">
        <v>520</v>
      </c>
      <c r="R90" s="2">
        <v>806</v>
      </c>
      <c r="S90" s="2">
        <v>2065</v>
      </c>
      <c r="T90" s="2">
        <f t="shared" si="10"/>
        <v>1458.8301994487135</v>
      </c>
      <c r="U90" s="2">
        <f t="shared" si="11"/>
        <v>307.2494283072291</v>
      </c>
      <c r="V90" s="2">
        <f t="shared" si="12"/>
        <v>134.50316812431072</v>
      </c>
      <c r="W90" s="2">
        <f t="shared" si="13"/>
        <v>1900.5827958802533</v>
      </c>
      <c r="X90" s="2">
        <v>-8.4559999999999995</v>
      </c>
      <c r="Y90" s="2">
        <f t="shared" si="14"/>
        <v>5291.5827958802529</v>
      </c>
      <c r="Z90" s="2">
        <f t="shared" si="15"/>
        <v>22789.962</v>
      </c>
      <c r="AA90">
        <f t="shared" si="16"/>
        <v>4175.62</v>
      </c>
      <c r="AB90">
        <f t="shared" si="17"/>
        <v>3296</v>
      </c>
    </row>
    <row r="91" spans="1:30" x14ac:dyDescent="0.25">
      <c r="A91" s="2">
        <v>10989</v>
      </c>
      <c r="B91" s="2">
        <v>10.5412177829407</v>
      </c>
      <c r="C91" s="2">
        <v>18.489999999999998</v>
      </c>
      <c r="D91" s="2">
        <f t="shared" si="9"/>
        <v>38.989999999999995</v>
      </c>
      <c r="E91" s="2">
        <v>2.68</v>
      </c>
      <c r="F91" s="2">
        <v>17.579999999999998</v>
      </c>
      <c r="G91" s="2">
        <v>0</v>
      </c>
      <c r="H91" s="2">
        <v>0</v>
      </c>
      <c r="I91" s="2">
        <v>0</v>
      </c>
      <c r="J91" s="2">
        <v>0</v>
      </c>
      <c r="K91" s="2">
        <v>15.508782217059199</v>
      </c>
      <c r="L91" s="2">
        <v>22.155403167227501</v>
      </c>
      <c r="M91" s="2">
        <v>0</v>
      </c>
      <c r="N91" s="2">
        <v>0</v>
      </c>
      <c r="O91" s="2">
        <v>1196</v>
      </c>
      <c r="P91" s="2">
        <v>-723</v>
      </c>
      <c r="Q91" s="2">
        <v>525</v>
      </c>
      <c r="R91" s="2">
        <v>805</v>
      </c>
      <c r="S91" s="2">
        <v>2065</v>
      </c>
      <c r="T91" s="2">
        <f t="shared" si="10"/>
        <v>1441.5147074671265</v>
      </c>
      <c r="U91" s="2">
        <f t="shared" si="11"/>
        <v>307.2494283072291</v>
      </c>
      <c r="V91" s="2">
        <f t="shared" si="12"/>
        <v>134.50316812431072</v>
      </c>
      <c r="W91" s="2">
        <f t="shared" si="13"/>
        <v>1883.2673038986663</v>
      </c>
      <c r="X91" s="2">
        <v>-8.391</v>
      </c>
      <c r="Y91" s="2">
        <f t="shared" si="14"/>
        <v>5278.2673038986668</v>
      </c>
      <c r="Z91" s="2">
        <f t="shared" si="15"/>
        <v>22519.458000000002</v>
      </c>
      <c r="AA91">
        <f t="shared" si="16"/>
        <v>4175.62</v>
      </c>
      <c r="AB91">
        <f t="shared" si="17"/>
        <v>3296</v>
      </c>
    </row>
    <row r="92" spans="1:30" x14ac:dyDescent="0.25">
      <c r="A92" s="2">
        <v>10866</v>
      </c>
      <c r="B92" s="2">
        <v>10.5453864791371</v>
      </c>
      <c r="C92" s="2">
        <v>18.28</v>
      </c>
      <c r="D92" s="2">
        <f t="shared" si="9"/>
        <v>38.78</v>
      </c>
      <c r="E92" s="2">
        <v>2.71</v>
      </c>
      <c r="F92" s="2">
        <v>17.399999999999999</v>
      </c>
      <c r="G92" s="2">
        <v>0</v>
      </c>
      <c r="H92" s="2">
        <v>0</v>
      </c>
      <c r="I92" s="2">
        <v>0</v>
      </c>
      <c r="J92" s="2">
        <v>0</v>
      </c>
      <c r="K92" s="2">
        <v>15.504613520862801</v>
      </c>
      <c r="L92" s="2">
        <v>22.149447886946898</v>
      </c>
      <c r="M92" s="2">
        <v>0</v>
      </c>
      <c r="N92" s="2">
        <v>0</v>
      </c>
      <c r="O92" s="2">
        <v>1196</v>
      </c>
      <c r="P92" s="2">
        <v>-714</v>
      </c>
      <c r="Q92" s="2">
        <v>534</v>
      </c>
      <c r="R92" s="2">
        <v>801</v>
      </c>
      <c r="S92" s="2">
        <v>2065</v>
      </c>
      <c r="T92" s="2">
        <f t="shared" si="10"/>
        <v>1410.194038147491</v>
      </c>
      <c r="U92" s="2">
        <f t="shared" si="11"/>
        <v>307.54772872306137</v>
      </c>
      <c r="V92" s="2">
        <f t="shared" si="12"/>
        <v>134.63375372443141</v>
      </c>
      <c r="W92" s="2">
        <f t="shared" si="13"/>
        <v>1852.375520594984</v>
      </c>
      <c r="X92" s="2">
        <v>-8.2739999999999991</v>
      </c>
      <c r="Y92" s="2">
        <f t="shared" si="14"/>
        <v>5252.3755205949838</v>
      </c>
      <c r="Z92" s="2">
        <f t="shared" si="15"/>
        <v>22030.164000000001</v>
      </c>
      <c r="AA92">
        <f t="shared" si="16"/>
        <v>4179.674</v>
      </c>
      <c r="AB92">
        <f t="shared" si="17"/>
        <v>3299.2000000000003</v>
      </c>
    </row>
    <row r="93" spans="1:30" x14ac:dyDescent="0.25">
      <c r="A93" s="2">
        <v>10866</v>
      </c>
      <c r="B93" s="2">
        <v>10.5453864791371</v>
      </c>
      <c r="C93" s="2">
        <v>18.28</v>
      </c>
      <c r="D93" s="2">
        <f t="shared" si="9"/>
        <v>38.78</v>
      </c>
      <c r="E93" s="2">
        <v>2.71</v>
      </c>
      <c r="F93" s="2">
        <v>17.399999999999999</v>
      </c>
      <c r="G93" s="2">
        <v>0</v>
      </c>
      <c r="H93" s="2">
        <v>0</v>
      </c>
      <c r="I93" s="2">
        <v>0</v>
      </c>
      <c r="J93" s="2">
        <v>0</v>
      </c>
      <c r="K93" s="2">
        <v>15.504613520862801</v>
      </c>
      <c r="L93" s="2">
        <v>22.149447886946898</v>
      </c>
      <c r="M93" s="2">
        <v>0</v>
      </c>
      <c r="N93" s="2">
        <v>0</v>
      </c>
      <c r="O93" s="2">
        <v>1196</v>
      </c>
      <c r="P93" s="2">
        <v>-714</v>
      </c>
      <c r="Q93" s="2">
        <v>534</v>
      </c>
      <c r="R93" s="2">
        <v>801</v>
      </c>
      <c r="S93" s="2">
        <v>2065</v>
      </c>
      <c r="T93" s="2">
        <f t="shared" si="10"/>
        <v>1410.194038147491</v>
      </c>
      <c r="U93" s="2">
        <f t="shared" si="11"/>
        <v>307.54772872306137</v>
      </c>
      <c r="V93" s="2">
        <f t="shared" si="12"/>
        <v>134.63375372443141</v>
      </c>
      <c r="W93" s="2">
        <f t="shared" si="13"/>
        <v>1852.375520594984</v>
      </c>
      <c r="X93" s="2">
        <v>-8.2739999999999991</v>
      </c>
      <c r="Y93" s="2">
        <f t="shared" si="14"/>
        <v>5252.3755205949838</v>
      </c>
      <c r="Z93" s="2">
        <f t="shared" si="15"/>
        <v>22030.164000000001</v>
      </c>
      <c r="AA93">
        <f t="shared" si="16"/>
        <v>4179.674</v>
      </c>
      <c r="AB93">
        <f t="shared" si="17"/>
        <v>3299.2000000000003</v>
      </c>
    </row>
    <row r="94" spans="1:30" x14ac:dyDescent="0.25">
      <c r="A94" s="2">
        <v>10836</v>
      </c>
      <c r="B94" s="2">
        <v>10.514052542960201</v>
      </c>
      <c r="C94" s="2">
        <v>18.23</v>
      </c>
      <c r="D94" s="2">
        <f t="shared" si="9"/>
        <v>38.730000000000004</v>
      </c>
      <c r="E94" s="2">
        <v>2.71</v>
      </c>
      <c r="F94" s="2">
        <v>17.36</v>
      </c>
      <c r="G94" s="2">
        <v>0</v>
      </c>
      <c r="H94" s="2">
        <v>0</v>
      </c>
      <c r="I94" s="2">
        <v>0</v>
      </c>
      <c r="J94" s="2">
        <v>0</v>
      </c>
      <c r="K94" s="2">
        <v>15.5359474570397</v>
      </c>
      <c r="L94" s="2">
        <v>22.194210652913799</v>
      </c>
      <c r="M94" s="2">
        <v>0</v>
      </c>
      <c r="N94" s="2">
        <v>0</v>
      </c>
      <c r="O94" s="2">
        <v>1198</v>
      </c>
      <c r="P94" s="2">
        <v>-712</v>
      </c>
      <c r="Q94" s="2">
        <v>538</v>
      </c>
      <c r="R94" s="2">
        <v>801</v>
      </c>
      <c r="S94" s="2">
        <v>2065</v>
      </c>
      <c r="T94" s="2">
        <f t="shared" si="10"/>
        <v>1402.5548505085553</v>
      </c>
      <c r="U94" s="2">
        <f t="shared" si="11"/>
        <v>306.65282747556466</v>
      </c>
      <c r="V94" s="2">
        <f t="shared" si="12"/>
        <v>134.24199692406933</v>
      </c>
      <c r="W94" s="2">
        <f t="shared" si="13"/>
        <v>1843.4496749081893</v>
      </c>
      <c r="X94" s="2">
        <v>-8.2509999999999994</v>
      </c>
      <c r="Y94" s="2">
        <f t="shared" si="14"/>
        <v>5247.4496749081891</v>
      </c>
      <c r="Z94" s="2">
        <f t="shared" si="15"/>
        <v>21910.824000000001</v>
      </c>
      <c r="AA94">
        <f t="shared" si="16"/>
        <v>4167.5120000000006</v>
      </c>
      <c r="AB94">
        <f t="shared" si="17"/>
        <v>3289.6000000000004</v>
      </c>
    </row>
    <row r="95" spans="1:30" x14ac:dyDescent="0.25">
      <c r="A95" s="2">
        <v>10716</v>
      </c>
      <c r="B95" s="2">
        <v>10.540069645309099</v>
      </c>
      <c r="C95" s="2">
        <v>18.03</v>
      </c>
      <c r="D95" s="2">
        <f t="shared" si="9"/>
        <v>38.53</v>
      </c>
      <c r="E95" s="2">
        <v>2.74</v>
      </c>
      <c r="F95" s="2">
        <v>17.18</v>
      </c>
      <c r="G95" s="2">
        <v>0</v>
      </c>
      <c r="H95" s="2">
        <v>0</v>
      </c>
      <c r="I95" s="2">
        <v>0</v>
      </c>
      <c r="J95" s="2">
        <v>0</v>
      </c>
      <c r="K95" s="2">
        <v>15.5099303546908</v>
      </c>
      <c r="L95" s="2">
        <v>22.157043363844</v>
      </c>
      <c r="M95" s="2">
        <v>0</v>
      </c>
      <c r="N95" s="2">
        <v>0</v>
      </c>
      <c r="O95" s="2">
        <v>1196</v>
      </c>
      <c r="P95" s="2">
        <v>-703</v>
      </c>
      <c r="Q95" s="2">
        <v>545</v>
      </c>
      <c r="R95" s="2">
        <v>798</v>
      </c>
      <c r="S95" s="2">
        <v>2065</v>
      </c>
      <c r="T95" s="2">
        <f t="shared" si="10"/>
        <v>1371.9980999528136</v>
      </c>
      <c r="U95" s="2">
        <f t="shared" si="11"/>
        <v>307.2494283072291</v>
      </c>
      <c r="V95" s="2">
        <f t="shared" si="12"/>
        <v>134.50316812431072</v>
      </c>
      <c r="W95" s="2">
        <f t="shared" si="13"/>
        <v>1813.7506963843534</v>
      </c>
      <c r="X95" s="2">
        <v>-8.1329999999999991</v>
      </c>
      <c r="Y95" s="2">
        <f t="shared" si="14"/>
        <v>5221.7506963843534</v>
      </c>
      <c r="Z95" s="2">
        <f t="shared" si="15"/>
        <v>21433.464</v>
      </c>
      <c r="AA95">
        <f t="shared" si="16"/>
        <v>4175.62</v>
      </c>
      <c r="AB95">
        <f t="shared" si="17"/>
        <v>3296</v>
      </c>
    </row>
    <row r="96" spans="1:30" x14ac:dyDescent="0.25">
      <c r="A96" s="2">
        <v>10701</v>
      </c>
      <c r="B96" s="2">
        <v>10.5867116866276</v>
      </c>
      <c r="C96" s="2">
        <v>18</v>
      </c>
      <c r="D96" s="2">
        <f t="shared" si="9"/>
        <v>38.5</v>
      </c>
      <c r="E96" s="2">
        <v>2.76</v>
      </c>
      <c r="F96" s="2">
        <v>17.149999999999999</v>
      </c>
      <c r="G96" s="2">
        <v>0</v>
      </c>
      <c r="H96" s="2">
        <v>0</v>
      </c>
      <c r="I96" s="2">
        <v>0</v>
      </c>
      <c r="J96" s="2">
        <v>0</v>
      </c>
      <c r="K96" s="2">
        <v>15.463288313372299</v>
      </c>
      <c r="L96" s="2">
        <v>22.090411876246101</v>
      </c>
      <c r="M96" s="2">
        <v>0</v>
      </c>
      <c r="N96" s="2">
        <v>0</v>
      </c>
      <c r="O96" s="2">
        <v>1193</v>
      </c>
      <c r="P96" s="2">
        <v>-701</v>
      </c>
      <c r="Q96" s="2">
        <v>543</v>
      </c>
      <c r="R96" s="2">
        <v>797</v>
      </c>
      <c r="S96" s="2">
        <v>2067</v>
      </c>
      <c r="T96" s="2">
        <f t="shared" si="10"/>
        <v>1368.1785061333458</v>
      </c>
      <c r="U96" s="2">
        <f t="shared" si="11"/>
        <v>308.7409303863904</v>
      </c>
      <c r="V96" s="2">
        <f t="shared" si="12"/>
        <v>135.15609612491414</v>
      </c>
      <c r="W96" s="2">
        <f t="shared" si="13"/>
        <v>1812.0755326446501</v>
      </c>
      <c r="X96" s="2">
        <v>-8.11</v>
      </c>
      <c r="Y96" s="2">
        <f t="shared" si="14"/>
        <v>5219.0755326446506</v>
      </c>
      <c r="Z96" s="2">
        <f t="shared" si="15"/>
        <v>21373.794000000002</v>
      </c>
      <c r="AA96">
        <f t="shared" si="16"/>
        <v>4195.8900000000003</v>
      </c>
      <c r="AB96">
        <f t="shared" si="17"/>
        <v>3312</v>
      </c>
    </row>
    <row r="97" spans="1:28" x14ac:dyDescent="0.25">
      <c r="A97" s="2">
        <v>10604</v>
      </c>
      <c r="B97" s="2">
        <v>10.5406680793117</v>
      </c>
      <c r="C97" s="2">
        <v>17.84</v>
      </c>
      <c r="D97" s="2">
        <f t="shared" si="9"/>
        <v>38.340000000000003</v>
      </c>
      <c r="E97" s="2">
        <v>2.77</v>
      </c>
      <c r="F97" s="2">
        <v>17.02</v>
      </c>
      <c r="G97" s="2">
        <v>0</v>
      </c>
      <c r="H97" s="2">
        <v>0</v>
      </c>
      <c r="I97" s="2">
        <v>0</v>
      </c>
      <c r="J97" s="2">
        <v>0</v>
      </c>
      <c r="K97" s="2">
        <v>15.509331920688201</v>
      </c>
      <c r="L97" s="2">
        <v>22.156188458126</v>
      </c>
      <c r="M97" s="2">
        <v>0</v>
      </c>
      <c r="N97" s="2">
        <v>0</v>
      </c>
      <c r="O97" s="2">
        <v>1196</v>
      </c>
      <c r="P97" s="2">
        <v>-695</v>
      </c>
      <c r="Q97" s="2">
        <v>553</v>
      </c>
      <c r="R97" s="2">
        <v>795</v>
      </c>
      <c r="S97" s="2">
        <v>2065</v>
      </c>
      <c r="T97" s="2">
        <f t="shared" si="10"/>
        <v>1343.4784661007875</v>
      </c>
      <c r="U97" s="2">
        <f t="shared" si="11"/>
        <v>307.2494283072291</v>
      </c>
      <c r="V97" s="2">
        <f t="shared" si="12"/>
        <v>134.50316812431072</v>
      </c>
      <c r="W97" s="2">
        <f t="shared" si="13"/>
        <v>1785.2310625323275</v>
      </c>
      <c r="X97" s="2">
        <v>-8.0269999999999992</v>
      </c>
      <c r="Y97" s="2">
        <f t="shared" si="14"/>
        <v>5198.231062532328</v>
      </c>
      <c r="Z97" s="2">
        <f t="shared" si="15"/>
        <v>20987.928</v>
      </c>
      <c r="AA97">
        <f t="shared" si="16"/>
        <v>4175.62</v>
      </c>
      <c r="AB97">
        <f t="shared" si="17"/>
        <v>3296</v>
      </c>
    </row>
    <row r="98" spans="1:28" x14ac:dyDescent="0.25">
      <c r="A98" s="2">
        <v>10545</v>
      </c>
      <c r="B98" s="2">
        <v>10.512211849817801</v>
      </c>
      <c r="C98" s="2">
        <v>17.739999999999998</v>
      </c>
      <c r="D98" s="2">
        <f t="shared" si="9"/>
        <v>38.239999999999995</v>
      </c>
      <c r="E98" s="2">
        <v>2.78</v>
      </c>
      <c r="F98" s="2">
        <v>16.940000000000001</v>
      </c>
      <c r="G98" s="2">
        <v>0</v>
      </c>
      <c r="H98" s="2">
        <v>0</v>
      </c>
      <c r="I98" s="2">
        <v>0</v>
      </c>
      <c r="J98" s="2">
        <v>0</v>
      </c>
      <c r="K98" s="2">
        <v>15.5377881501821</v>
      </c>
      <c r="L98" s="2">
        <v>22.196840214545901</v>
      </c>
      <c r="M98" s="2">
        <v>0</v>
      </c>
      <c r="N98" s="2">
        <v>0</v>
      </c>
      <c r="O98" s="2">
        <v>1199</v>
      </c>
      <c r="P98" s="2">
        <v>-691</v>
      </c>
      <c r="Q98" s="2">
        <v>559</v>
      </c>
      <c r="R98" s="2">
        <v>793</v>
      </c>
      <c r="S98" s="2">
        <v>2065</v>
      </c>
      <c r="T98" s="2">
        <f t="shared" si="10"/>
        <v>1328.4547304108814</v>
      </c>
      <c r="U98" s="2">
        <f t="shared" si="11"/>
        <v>306.35452705973239</v>
      </c>
      <c r="V98" s="2">
        <f t="shared" si="12"/>
        <v>134.11141132394866</v>
      </c>
      <c r="W98" s="2">
        <f t="shared" si="13"/>
        <v>1768.9206687945625</v>
      </c>
      <c r="X98" s="2">
        <v>-7.976</v>
      </c>
      <c r="Y98" s="2">
        <f t="shared" si="14"/>
        <v>5185.9206687945625</v>
      </c>
      <c r="Z98" s="2">
        <f t="shared" si="15"/>
        <v>20753.226000000002</v>
      </c>
      <c r="AA98">
        <f t="shared" si="16"/>
        <v>4163.4580000000005</v>
      </c>
      <c r="AB98">
        <f t="shared" si="17"/>
        <v>3286.4</v>
      </c>
    </row>
    <row r="99" spans="1:28" x14ac:dyDescent="0.25">
      <c r="A99" s="2">
        <v>10512</v>
      </c>
      <c r="B99" s="2">
        <v>10.5398507947342</v>
      </c>
      <c r="C99" s="2">
        <v>17.690000000000001</v>
      </c>
      <c r="D99" s="2">
        <f t="shared" si="9"/>
        <v>38.19</v>
      </c>
      <c r="E99" s="2">
        <v>2.79</v>
      </c>
      <c r="F99" s="2">
        <v>16.89</v>
      </c>
      <c r="G99" s="2">
        <v>0</v>
      </c>
      <c r="H99" s="2">
        <v>0</v>
      </c>
      <c r="I99" s="2">
        <v>0</v>
      </c>
      <c r="J99" s="2">
        <v>0</v>
      </c>
      <c r="K99" s="2">
        <v>15.5101492052657</v>
      </c>
      <c r="L99" s="2">
        <v>22.157356007522498</v>
      </c>
      <c r="M99" s="2">
        <v>0</v>
      </c>
      <c r="N99" s="2">
        <v>0</v>
      </c>
      <c r="O99" s="2">
        <v>1196</v>
      </c>
      <c r="P99" s="2">
        <v>-688</v>
      </c>
      <c r="Q99" s="2">
        <v>560</v>
      </c>
      <c r="R99" s="2">
        <v>793</v>
      </c>
      <c r="S99" s="2">
        <v>2065</v>
      </c>
      <c r="T99" s="2">
        <f t="shared" si="10"/>
        <v>1320.0516240080522</v>
      </c>
      <c r="U99" s="2">
        <f t="shared" si="11"/>
        <v>307.2494283072291</v>
      </c>
      <c r="V99" s="2">
        <f t="shared" si="12"/>
        <v>134.50316812431072</v>
      </c>
      <c r="W99" s="2">
        <f t="shared" si="13"/>
        <v>1761.804220439592</v>
      </c>
      <c r="X99" s="2">
        <v>-7.94</v>
      </c>
      <c r="Y99" s="2">
        <f t="shared" si="14"/>
        <v>5179.8042204395915</v>
      </c>
      <c r="Z99" s="2">
        <f t="shared" si="15"/>
        <v>20621.952000000001</v>
      </c>
      <c r="AA99">
        <f t="shared" si="16"/>
        <v>4175.62</v>
      </c>
      <c r="AB99">
        <f t="shared" si="17"/>
        <v>3296</v>
      </c>
    </row>
    <row r="100" spans="1:28" x14ac:dyDescent="0.25">
      <c r="A100" s="2">
        <v>10445</v>
      </c>
      <c r="B100" s="2">
        <v>10.509616692211701</v>
      </c>
      <c r="C100" s="2">
        <v>17.57</v>
      </c>
      <c r="D100" s="2">
        <f t="shared" si="9"/>
        <v>38.07</v>
      </c>
      <c r="E100" s="2">
        <v>2.8</v>
      </c>
      <c r="F100" s="2">
        <v>16.79</v>
      </c>
      <c r="G100" s="2">
        <v>0</v>
      </c>
      <c r="H100" s="2">
        <v>0</v>
      </c>
      <c r="I100" s="2">
        <v>3.8330778824757701E-4</v>
      </c>
      <c r="J100" s="2">
        <v>4.2589754249730799E-4</v>
      </c>
      <c r="K100" s="2">
        <v>15.54</v>
      </c>
      <c r="L100" s="2">
        <v>22.2</v>
      </c>
      <c r="M100" s="2">
        <v>0</v>
      </c>
      <c r="N100" s="2">
        <v>0</v>
      </c>
      <c r="O100" s="2">
        <v>1199</v>
      </c>
      <c r="P100" s="2">
        <v>-683</v>
      </c>
      <c r="Q100" s="2">
        <v>567</v>
      </c>
      <c r="R100" s="2">
        <v>791</v>
      </c>
      <c r="S100" s="2">
        <v>2065</v>
      </c>
      <c r="T100" s="2">
        <f t="shared" si="10"/>
        <v>1302.9907716144296</v>
      </c>
      <c r="U100" s="2">
        <f t="shared" si="11"/>
        <v>306.35452705973239</v>
      </c>
      <c r="V100" s="2">
        <f t="shared" si="12"/>
        <v>134.11141132394866</v>
      </c>
      <c r="W100" s="2">
        <f t="shared" si="13"/>
        <v>1743.4567099981107</v>
      </c>
      <c r="X100" s="2">
        <v>-7.8810000000000002</v>
      </c>
      <c r="Y100" s="2">
        <f t="shared" si="14"/>
        <v>5166.4567099981105</v>
      </c>
      <c r="Z100" s="2">
        <f t="shared" si="15"/>
        <v>20355.425999999999</v>
      </c>
      <c r="AA100">
        <f t="shared" si="16"/>
        <v>4163.4580000000005</v>
      </c>
      <c r="AB100">
        <f t="shared" si="17"/>
        <v>3286.4</v>
      </c>
    </row>
    <row r="101" spans="1:28" x14ac:dyDescent="0.25">
      <c r="A101" s="2">
        <v>10411</v>
      </c>
      <c r="B101" s="2">
        <v>10.5867116866276</v>
      </c>
      <c r="C101" s="2">
        <v>17.52</v>
      </c>
      <c r="D101" s="2">
        <f t="shared" si="9"/>
        <v>38.019999999999996</v>
      </c>
      <c r="E101" s="2">
        <v>2.82</v>
      </c>
      <c r="F101" s="2">
        <v>16.73</v>
      </c>
      <c r="G101" s="2">
        <v>0</v>
      </c>
      <c r="H101" s="2">
        <v>0</v>
      </c>
      <c r="I101" s="2">
        <v>0</v>
      </c>
      <c r="J101" s="2">
        <v>0</v>
      </c>
      <c r="K101" s="2">
        <v>15.463288313372299</v>
      </c>
      <c r="L101" s="2">
        <v>22.090411876246101</v>
      </c>
      <c r="M101" s="2">
        <v>0</v>
      </c>
      <c r="N101" s="2">
        <v>0</v>
      </c>
      <c r="O101" s="2">
        <v>1193</v>
      </c>
      <c r="P101" s="2">
        <v>-679</v>
      </c>
      <c r="Q101" s="2">
        <v>565</v>
      </c>
      <c r="R101" s="2">
        <v>790</v>
      </c>
      <c r="S101" s="2">
        <v>2067</v>
      </c>
      <c r="T101" s="2">
        <f t="shared" si="10"/>
        <v>1294.3330256236361</v>
      </c>
      <c r="U101" s="2">
        <f t="shared" si="11"/>
        <v>308.7409303863904</v>
      </c>
      <c r="V101" s="2">
        <f t="shared" si="12"/>
        <v>135.15609612491414</v>
      </c>
      <c r="W101" s="2">
        <f t="shared" si="13"/>
        <v>1738.2300521349407</v>
      </c>
      <c r="X101" s="2">
        <v>-7.8360000000000003</v>
      </c>
      <c r="Y101" s="2">
        <f t="shared" si="14"/>
        <v>5160.2300521349407</v>
      </c>
      <c r="Z101" s="2">
        <f t="shared" si="15"/>
        <v>20220.174000000003</v>
      </c>
      <c r="AA101">
        <f t="shared" si="16"/>
        <v>4195.8900000000003</v>
      </c>
      <c r="AB101">
        <f t="shared" si="17"/>
        <v>3312</v>
      </c>
    </row>
    <row r="102" spans="1:28" x14ac:dyDescent="0.25">
      <c r="A102" s="2">
        <v>10383</v>
      </c>
      <c r="B102" s="2">
        <v>10.5214451843506</v>
      </c>
      <c r="C102" s="2">
        <v>17.47</v>
      </c>
      <c r="D102" s="2">
        <f t="shared" si="9"/>
        <v>37.97</v>
      </c>
      <c r="E102" s="2">
        <v>2.82</v>
      </c>
      <c r="F102" s="2">
        <v>16.7</v>
      </c>
      <c r="G102" s="2">
        <v>0</v>
      </c>
      <c r="H102" s="2">
        <v>0</v>
      </c>
      <c r="I102" s="2">
        <v>0</v>
      </c>
      <c r="J102" s="2">
        <v>0</v>
      </c>
      <c r="K102" s="2">
        <v>15.528554815649301</v>
      </c>
      <c r="L102" s="2">
        <v>22.1836497366419</v>
      </c>
      <c r="M102" s="2">
        <v>0</v>
      </c>
      <c r="N102" s="2">
        <v>0</v>
      </c>
      <c r="O102" s="2">
        <v>1198</v>
      </c>
      <c r="P102" s="2">
        <v>-678</v>
      </c>
      <c r="Q102" s="2">
        <v>571</v>
      </c>
      <c r="R102" s="2">
        <v>789</v>
      </c>
      <c r="S102" s="2">
        <v>2065</v>
      </c>
      <c r="T102" s="2">
        <f t="shared" si="10"/>
        <v>1287.2031171606297</v>
      </c>
      <c r="U102" s="2">
        <f t="shared" si="11"/>
        <v>306.65282747556466</v>
      </c>
      <c r="V102" s="2">
        <f t="shared" si="12"/>
        <v>134.24199692406933</v>
      </c>
      <c r="W102" s="2">
        <f t="shared" si="13"/>
        <v>1728.0979415602637</v>
      </c>
      <c r="X102" s="2">
        <v>-7.8209999999999997</v>
      </c>
      <c r="Y102" s="2">
        <f t="shared" si="14"/>
        <v>5153.0979415602633</v>
      </c>
      <c r="Z102" s="2">
        <f t="shared" si="15"/>
        <v>20108.79</v>
      </c>
      <c r="AA102">
        <f t="shared" si="16"/>
        <v>4167.5120000000006</v>
      </c>
      <c r="AB102">
        <f t="shared" si="17"/>
        <v>3289.6000000000004</v>
      </c>
    </row>
    <row r="103" spans="1:28" x14ac:dyDescent="0.25">
      <c r="A103" s="2">
        <v>10336</v>
      </c>
      <c r="B103" s="2">
        <v>10.541453501338699</v>
      </c>
      <c r="C103" s="2">
        <v>17.39</v>
      </c>
      <c r="D103" s="2">
        <f t="shared" si="9"/>
        <v>37.89</v>
      </c>
      <c r="E103" s="2">
        <v>2.83</v>
      </c>
      <c r="F103" s="2">
        <v>16.63</v>
      </c>
      <c r="G103" s="2">
        <v>0</v>
      </c>
      <c r="H103" s="2">
        <v>0</v>
      </c>
      <c r="I103" s="2">
        <v>0</v>
      </c>
      <c r="J103" s="2">
        <v>0</v>
      </c>
      <c r="K103" s="2">
        <v>15.5085464986612</v>
      </c>
      <c r="L103" s="2">
        <v>22.155066426658902</v>
      </c>
      <c r="M103" s="2">
        <v>0</v>
      </c>
      <c r="N103" s="2">
        <v>0</v>
      </c>
      <c r="O103" s="2">
        <v>1196</v>
      </c>
      <c r="P103" s="2">
        <v>-674</v>
      </c>
      <c r="Q103" s="2">
        <v>573</v>
      </c>
      <c r="R103" s="2">
        <v>788</v>
      </c>
      <c r="S103" s="2">
        <v>2065</v>
      </c>
      <c r="T103" s="2">
        <f t="shared" si="10"/>
        <v>1275.2350565262973</v>
      </c>
      <c r="U103" s="2">
        <f t="shared" si="11"/>
        <v>307.2494283072291</v>
      </c>
      <c r="V103" s="2">
        <f t="shared" si="12"/>
        <v>134.50316812431072</v>
      </c>
      <c r="W103" s="2">
        <f t="shared" si="13"/>
        <v>1716.9876529578373</v>
      </c>
      <c r="X103" s="2">
        <v>-7.7729999999999997</v>
      </c>
      <c r="Y103" s="2">
        <f t="shared" si="14"/>
        <v>5142.9876529578378</v>
      </c>
      <c r="Z103" s="2">
        <f t="shared" si="15"/>
        <v>19921.824000000001</v>
      </c>
      <c r="AA103">
        <f t="shared" si="16"/>
        <v>4175.62</v>
      </c>
      <c r="AB103">
        <f t="shared" si="17"/>
        <v>3296</v>
      </c>
    </row>
    <row r="104" spans="1:28" x14ac:dyDescent="0.25">
      <c r="A104" s="2">
        <v>10249</v>
      </c>
      <c r="B104" s="2">
        <v>10.522656087487</v>
      </c>
      <c r="C104" s="2">
        <v>17.239999999999998</v>
      </c>
      <c r="D104" s="2">
        <f t="shared" si="9"/>
        <v>37.739999999999995</v>
      </c>
      <c r="E104" s="2">
        <v>2.85</v>
      </c>
      <c r="F104" s="2">
        <v>16.510000000000002</v>
      </c>
      <c r="G104" s="2">
        <v>0</v>
      </c>
      <c r="H104" s="2">
        <v>0</v>
      </c>
      <c r="I104" s="2">
        <v>0</v>
      </c>
      <c r="J104" s="2">
        <v>0</v>
      </c>
      <c r="K104" s="2">
        <v>15.527343912512899</v>
      </c>
      <c r="L104" s="2">
        <v>22.181919875018501</v>
      </c>
      <c r="M104" s="2">
        <v>0</v>
      </c>
      <c r="N104" s="2">
        <v>0</v>
      </c>
      <c r="O104" s="2">
        <v>1198</v>
      </c>
      <c r="P104" s="2">
        <v>-668</v>
      </c>
      <c r="Q104" s="2">
        <v>581</v>
      </c>
      <c r="R104" s="2">
        <v>786</v>
      </c>
      <c r="S104" s="2">
        <v>2065</v>
      </c>
      <c r="T104" s="2">
        <f t="shared" si="10"/>
        <v>1253.0814123733844</v>
      </c>
      <c r="U104" s="2">
        <f t="shared" si="11"/>
        <v>306.65282747556466</v>
      </c>
      <c r="V104" s="2">
        <f t="shared" si="12"/>
        <v>134.24199692406933</v>
      </c>
      <c r="W104" s="2">
        <f t="shared" si="13"/>
        <v>1693.9762367730184</v>
      </c>
      <c r="X104" s="2">
        <v>-7.6929999999999996</v>
      </c>
      <c r="Y104" s="2">
        <f t="shared" si="14"/>
        <v>5125.9762367730182</v>
      </c>
      <c r="Z104" s="2">
        <f t="shared" si="15"/>
        <v>19575.738000000001</v>
      </c>
      <c r="AA104">
        <f t="shared" si="16"/>
        <v>4167.5120000000006</v>
      </c>
      <c r="AB104">
        <f t="shared" si="17"/>
        <v>3289.6000000000004</v>
      </c>
    </row>
    <row r="105" spans="1:28" x14ac:dyDescent="0.25">
      <c r="A105" s="2">
        <v>10236</v>
      </c>
      <c r="B105" s="2">
        <v>10.5171959018904</v>
      </c>
      <c r="C105" s="2">
        <v>17.22</v>
      </c>
      <c r="D105" s="2">
        <f t="shared" si="9"/>
        <v>37.72</v>
      </c>
      <c r="E105" s="2">
        <v>2.85</v>
      </c>
      <c r="F105" s="2">
        <v>16.489999999999998</v>
      </c>
      <c r="G105" s="2">
        <v>0</v>
      </c>
      <c r="H105" s="2">
        <v>0</v>
      </c>
      <c r="I105" s="2">
        <v>0</v>
      </c>
      <c r="J105" s="2">
        <v>0</v>
      </c>
      <c r="K105" s="2">
        <v>15.5328040981095</v>
      </c>
      <c r="L105" s="2">
        <v>22.1897201401564</v>
      </c>
      <c r="M105" s="2">
        <v>0</v>
      </c>
      <c r="N105" s="2">
        <v>0</v>
      </c>
      <c r="O105" s="2">
        <v>1198</v>
      </c>
      <c r="P105" s="2">
        <v>-667</v>
      </c>
      <c r="Q105" s="2">
        <v>582</v>
      </c>
      <c r="R105" s="2">
        <v>786</v>
      </c>
      <c r="S105" s="2">
        <v>2065</v>
      </c>
      <c r="T105" s="2">
        <f t="shared" si="10"/>
        <v>1249.7710977298457</v>
      </c>
      <c r="U105" s="2">
        <f t="shared" si="11"/>
        <v>306.65282747556466</v>
      </c>
      <c r="V105" s="2">
        <f t="shared" si="12"/>
        <v>134.24199692406933</v>
      </c>
      <c r="W105" s="2">
        <f t="shared" si="13"/>
        <v>1690.6659221294797</v>
      </c>
      <c r="X105" s="2">
        <v>-7.6820000000000004</v>
      </c>
      <c r="Y105" s="2">
        <f t="shared" si="14"/>
        <v>5123.6659221294794</v>
      </c>
      <c r="Z105" s="2">
        <f t="shared" si="15"/>
        <v>19524.024000000001</v>
      </c>
      <c r="AA105">
        <f t="shared" si="16"/>
        <v>4167.5120000000006</v>
      </c>
      <c r="AB105">
        <f t="shared" si="17"/>
        <v>3289.6000000000004</v>
      </c>
    </row>
    <row r="106" spans="1:28" x14ac:dyDescent="0.25">
      <c r="A106" s="2">
        <v>10232</v>
      </c>
      <c r="B106" s="2">
        <v>10.540476867825401</v>
      </c>
      <c r="C106" s="2">
        <v>17.22</v>
      </c>
      <c r="D106" s="2">
        <f t="shared" si="9"/>
        <v>37.72</v>
      </c>
      <c r="E106" s="2">
        <v>2.85</v>
      </c>
      <c r="F106" s="2">
        <v>16.48</v>
      </c>
      <c r="G106" s="2">
        <v>0</v>
      </c>
      <c r="H106" s="2">
        <v>0</v>
      </c>
      <c r="I106" s="2">
        <v>0</v>
      </c>
      <c r="J106" s="2">
        <v>0</v>
      </c>
      <c r="K106" s="2">
        <v>15.5095231321745</v>
      </c>
      <c r="L106" s="2">
        <v>22.1564616173922</v>
      </c>
      <c r="M106" s="2">
        <v>0</v>
      </c>
      <c r="N106" s="2">
        <v>0</v>
      </c>
      <c r="O106" s="2">
        <v>1196</v>
      </c>
      <c r="P106" s="2">
        <v>-666</v>
      </c>
      <c r="Q106" s="2">
        <v>581</v>
      </c>
      <c r="R106" s="2">
        <v>786</v>
      </c>
      <c r="S106" s="2">
        <v>2065</v>
      </c>
      <c r="T106" s="2">
        <f t="shared" si="10"/>
        <v>1248.7525393779877</v>
      </c>
      <c r="U106" s="2">
        <f t="shared" si="11"/>
        <v>307.2494283072291</v>
      </c>
      <c r="V106" s="2">
        <f t="shared" si="12"/>
        <v>134.50316812431072</v>
      </c>
      <c r="W106" s="2">
        <f t="shared" si="13"/>
        <v>1690.5051358095275</v>
      </c>
      <c r="X106" s="2">
        <v>-7.6740000000000004</v>
      </c>
      <c r="Y106" s="2">
        <f t="shared" si="14"/>
        <v>5122.5051358095279</v>
      </c>
      <c r="Z106" s="2">
        <f t="shared" si="15"/>
        <v>19508.112000000001</v>
      </c>
      <c r="AA106">
        <f t="shared" si="16"/>
        <v>4175.62</v>
      </c>
      <c r="AB106">
        <f t="shared" si="17"/>
        <v>3296</v>
      </c>
    </row>
    <row r="107" spans="1:28" x14ac:dyDescent="0.25">
      <c r="A107" s="2">
        <v>10180</v>
      </c>
      <c r="B107" s="2">
        <v>10.508385922159</v>
      </c>
      <c r="C107" s="2">
        <v>17.13</v>
      </c>
      <c r="D107" s="2">
        <f t="shared" si="9"/>
        <v>37.629999999999995</v>
      </c>
      <c r="E107" s="2">
        <v>2.86</v>
      </c>
      <c r="F107" s="2">
        <v>16.41</v>
      </c>
      <c r="G107" s="2">
        <v>0</v>
      </c>
      <c r="H107" s="2">
        <v>0</v>
      </c>
      <c r="I107" s="2">
        <v>1.61407784096923E-3</v>
      </c>
      <c r="J107" s="2">
        <v>1.7934198232991401E-3</v>
      </c>
      <c r="K107" s="2">
        <v>15.54</v>
      </c>
      <c r="L107" s="2">
        <v>22.2</v>
      </c>
      <c r="M107" s="2">
        <v>0</v>
      </c>
      <c r="N107" s="2">
        <v>0</v>
      </c>
      <c r="O107" s="2">
        <v>1199</v>
      </c>
      <c r="P107" s="2">
        <v>-663</v>
      </c>
      <c r="Q107" s="2">
        <v>588</v>
      </c>
      <c r="R107" s="2">
        <v>784</v>
      </c>
      <c r="S107" s="2">
        <v>2065</v>
      </c>
      <c r="T107" s="2">
        <f t="shared" si="10"/>
        <v>1235.5112808038327</v>
      </c>
      <c r="U107" s="2">
        <f t="shared" si="11"/>
        <v>306.35452705973239</v>
      </c>
      <c r="V107" s="2">
        <f t="shared" si="12"/>
        <v>134.11141132394866</v>
      </c>
      <c r="W107" s="2">
        <f t="shared" si="13"/>
        <v>1675.9772191875138</v>
      </c>
      <c r="X107" s="2">
        <v>-7.63</v>
      </c>
      <c r="Y107" s="2">
        <f t="shared" si="14"/>
        <v>5112.9772191875136</v>
      </c>
      <c r="Z107" s="2">
        <f t="shared" si="15"/>
        <v>19301.256000000001</v>
      </c>
      <c r="AA107">
        <f t="shared" si="16"/>
        <v>4163.4580000000005</v>
      </c>
      <c r="AB107">
        <f t="shared" si="17"/>
        <v>3286.4</v>
      </c>
    </row>
    <row r="108" spans="1:28" x14ac:dyDescent="0.25">
      <c r="A108" s="2">
        <v>10141</v>
      </c>
      <c r="B108" s="2">
        <v>10.5131009093142</v>
      </c>
      <c r="C108" s="2">
        <v>17.059999999999999</v>
      </c>
      <c r="D108" s="2">
        <f t="shared" si="9"/>
        <v>37.56</v>
      </c>
      <c r="E108" s="2">
        <v>2.87</v>
      </c>
      <c r="F108" s="2">
        <v>16.350000000000001</v>
      </c>
      <c r="G108" s="2">
        <v>0</v>
      </c>
      <c r="H108" s="2">
        <v>0</v>
      </c>
      <c r="I108" s="2">
        <v>0</v>
      </c>
      <c r="J108" s="2">
        <v>0</v>
      </c>
      <c r="K108" s="2">
        <v>15.536899090685701</v>
      </c>
      <c r="L108" s="2">
        <v>22.195570129551001</v>
      </c>
      <c r="M108" s="2">
        <v>0</v>
      </c>
      <c r="N108" s="2">
        <v>0</v>
      </c>
      <c r="O108" s="2">
        <v>1199</v>
      </c>
      <c r="P108" s="2">
        <v>-660</v>
      </c>
      <c r="Q108" s="2">
        <v>590</v>
      </c>
      <c r="R108" s="2">
        <v>783</v>
      </c>
      <c r="S108" s="2">
        <v>2065</v>
      </c>
      <c r="T108" s="2">
        <f t="shared" si="10"/>
        <v>1225.5803368732165</v>
      </c>
      <c r="U108" s="2">
        <f t="shared" si="11"/>
        <v>306.35452705973239</v>
      </c>
      <c r="V108" s="2">
        <f t="shared" si="12"/>
        <v>134.11141132394866</v>
      </c>
      <c r="W108" s="2">
        <f t="shared" si="13"/>
        <v>1666.0462752568976</v>
      </c>
      <c r="X108" s="2">
        <v>-7.593</v>
      </c>
      <c r="Y108" s="2">
        <f t="shared" si="14"/>
        <v>5104.0462752568974</v>
      </c>
      <c r="Z108" s="2">
        <f t="shared" si="15"/>
        <v>19146.114000000001</v>
      </c>
      <c r="AA108">
        <f t="shared" si="16"/>
        <v>4163.4580000000005</v>
      </c>
      <c r="AB108">
        <f t="shared" si="17"/>
        <v>3286.4</v>
      </c>
    </row>
    <row r="109" spans="1:28" x14ac:dyDescent="0.25">
      <c r="A109" s="2">
        <v>10024</v>
      </c>
      <c r="B109" s="2">
        <v>10.5125912070854</v>
      </c>
      <c r="C109" s="2">
        <v>16.87</v>
      </c>
      <c r="D109" s="2">
        <f t="shared" si="9"/>
        <v>37.370000000000005</v>
      </c>
      <c r="E109" s="2">
        <v>2.9</v>
      </c>
      <c r="F109" s="2">
        <v>16.18</v>
      </c>
      <c r="G109" s="2">
        <v>0</v>
      </c>
      <c r="H109" s="2">
        <v>0</v>
      </c>
      <c r="I109" s="2">
        <v>0</v>
      </c>
      <c r="J109" s="2">
        <v>0</v>
      </c>
      <c r="K109" s="2">
        <v>15.5374087929145</v>
      </c>
      <c r="L109" s="2">
        <v>22.196298275592198</v>
      </c>
      <c r="M109" s="2">
        <v>0</v>
      </c>
      <c r="N109" s="2">
        <v>0</v>
      </c>
      <c r="O109" s="2">
        <v>1199</v>
      </c>
      <c r="P109" s="2">
        <v>-651</v>
      </c>
      <c r="Q109" s="2">
        <v>599</v>
      </c>
      <c r="R109" s="2">
        <v>780</v>
      </c>
      <c r="S109" s="2">
        <v>2065</v>
      </c>
      <c r="T109" s="2">
        <f t="shared" si="10"/>
        <v>1195.7875050813682</v>
      </c>
      <c r="U109" s="2">
        <f t="shared" si="11"/>
        <v>306.35452705973239</v>
      </c>
      <c r="V109" s="2">
        <f t="shared" si="12"/>
        <v>134.11141132394866</v>
      </c>
      <c r="W109" s="2">
        <f t="shared" si="13"/>
        <v>1636.2534434650493</v>
      </c>
      <c r="X109" s="2">
        <v>-7.4820000000000002</v>
      </c>
      <c r="Y109" s="2">
        <f t="shared" si="14"/>
        <v>5080.2534434650497</v>
      </c>
      <c r="Z109" s="2">
        <f t="shared" si="15"/>
        <v>18680.688000000002</v>
      </c>
      <c r="AA109">
        <f t="shared" si="16"/>
        <v>4163.4580000000005</v>
      </c>
      <c r="AB109">
        <f t="shared" si="17"/>
        <v>3286.4</v>
      </c>
    </row>
    <row r="110" spans="1:28" x14ac:dyDescent="0.25">
      <c r="A110" s="2">
        <v>9979</v>
      </c>
      <c r="B110" s="2">
        <v>10.540453929263499</v>
      </c>
      <c r="C110" s="2">
        <v>16.79</v>
      </c>
      <c r="D110" s="2">
        <f t="shared" si="9"/>
        <v>37.29</v>
      </c>
      <c r="E110" s="2">
        <v>2.91</v>
      </c>
      <c r="F110" s="2">
        <v>16.11</v>
      </c>
      <c r="G110" s="2">
        <v>0</v>
      </c>
      <c r="H110" s="2">
        <v>0</v>
      </c>
      <c r="I110" s="2">
        <v>0</v>
      </c>
      <c r="J110" s="2">
        <v>0</v>
      </c>
      <c r="K110" s="2">
        <v>15.5095460707364</v>
      </c>
      <c r="L110" s="2">
        <v>22.156494386766301</v>
      </c>
      <c r="M110" s="2">
        <v>0</v>
      </c>
      <c r="N110" s="2">
        <v>0</v>
      </c>
      <c r="O110" s="2">
        <v>1196</v>
      </c>
      <c r="P110" s="2">
        <v>-647</v>
      </c>
      <c r="Q110" s="2">
        <v>601</v>
      </c>
      <c r="R110" s="2">
        <v>779</v>
      </c>
      <c r="S110" s="2">
        <v>2065</v>
      </c>
      <c r="T110" s="2">
        <f t="shared" si="10"/>
        <v>1184.3287236229651</v>
      </c>
      <c r="U110" s="2">
        <f t="shared" si="11"/>
        <v>307.2494283072291</v>
      </c>
      <c r="V110" s="2">
        <f t="shared" si="12"/>
        <v>134.50316812431072</v>
      </c>
      <c r="W110" s="2">
        <f t="shared" si="13"/>
        <v>1626.0813200545049</v>
      </c>
      <c r="X110" s="2">
        <v>-7.4340000000000002</v>
      </c>
      <c r="Y110" s="2">
        <f t="shared" si="14"/>
        <v>5071.0813200545053</v>
      </c>
      <c r="Z110" s="2">
        <f t="shared" si="15"/>
        <v>18501.678</v>
      </c>
      <c r="AA110">
        <f t="shared" si="16"/>
        <v>4175.62</v>
      </c>
      <c r="AB110">
        <f t="shared" si="17"/>
        <v>3296</v>
      </c>
    </row>
    <row r="111" spans="1:28" x14ac:dyDescent="0.25">
      <c r="A111" s="2">
        <v>9895</v>
      </c>
      <c r="B111" s="2">
        <v>10.5137482787227</v>
      </c>
      <c r="C111" s="2">
        <v>16.649999999999999</v>
      </c>
      <c r="D111" s="2">
        <f t="shared" si="9"/>
        <v>37.15</v>
      </c>
      <c r="E111" s="2">
        <v>2.93</v>
      </c>
      <c r="F111" s="2">
        <v>16</v>
      </c>
      <c r="G111" s="2">
        <v>0</v>
      </c>
      <c r="H111" s="2">
        <v>0</v>
      </c>
      <c r="I111" s="2">
        <v>0</v>
      </c>
      <c r="J111" s="2">
        <v>0</v>
      </c>
      <c r="K111" s="2">
        <v>15.5362517212772</v>
      </c>
      <c r="L111" s="2">
        <v>22.1946453161103</v>
      </c>
      <c r="M111" s="2">
        <v>0</v>
      </c>
      <c r="N111" s="2">
        <v>0</v>
      </c>
      <c r="O111" s="2">
        <v>1199</v>
      </c>
      <c r="P111" s="2">
        <v>-640</v>
      </c>
      <c r="Q111" s="2">
        <v>609</v>
      </c>
      <c r="R111" s="2">
        <v>777</v>
      </c>
      <c r="S111" s="2">
        <v>2065</v>
      </c>
      <c r="T111" s="2">
        <f t="shared" si="10"/>
        <v>1162.9389982339458</v>
      </c>
      <c r="U111" s="2">
        <f t="shared" si="11"/>
        <v>306.65282747556466</v>
      </c>
      <c r="V111" s="2">
        <f t="shared" si="12"/>
        <v>134.24199692406933</v>
      </c>
      <c r="W111" s="2">
        <f t="shared" si="13"/>
        <v>1603.8338226335798</v>
      </c>
      <c r="X111" s="2">
        <v>-7.359</v>
      </c>
      <c r="Y111" s="2">
        <f t="shared" si="14"/>
        <v>5054.83382263358</v>
      </c>
      <c r="Z111" s="2">
        <f t="shared" si="15"/>
        <v>18167.526000000002</v>
      </c>
      <c r="AA111">
        <f t="shared" si="16"/>
        <v>4167.5120000000006</v>
      </c>
      <c r="AB111">
        <f t="shared" si="17"/>
        <v>3289.6000000000004</v>
      </c>
    </row>
    <row r="112" spans="1:28" x14ac:dyDescent="0.25">
      <c r="A112" s="2">
        <v>9870</v>
      </c>
      <c r="B112" s="2">
        <v>10.510495689510501</v>
      </c>
      <c r="C112" s="2">
        <v>16.61</v>
      </c>
      <c r="D112" s="2">
        <f t="shared" si="9"/>
        <v>37.11</v>
      </c>
      <c r="E112" s="2">
        <v>2.93</v>
      </c>
      <c r="F112" s="2">
        <v>15.96</v>
      </c>
      <c r="G112" s="2">
        <v>0</v>
      </c>
      <c r="H112" s="2">
        <v>0</v>
      </c>
      <c r="I112" s="2">
        <v>0</v>
      </c>
      <c r="J112" s="2">
        <v>0</v>
      </c>
      <c r="K112" s="2">
        <v>15.5395043104894</v>
      </c>
      <c r="L112" s="2">
        <v>22.199291872127699</v>
      </c>
      <c r="M112" s="2">
        <v>0</v>
      </c>
      <c r="N112" s="2">
        <v>0</v>
      </c>
      <c r="O112" s="2">
        <v>1199</v>
      </c>
      <c r="P112" s="2">
        <v>-639</v>
      </c>
      <c r="Q112" s="2">
        <v>611</v>
      </c>
      <c r="R112" s="2">
        <v>777</v>
      </c>
      <c r="S112" s="2">
        <v>2065</v>
      </c>
      <c r="T112" s="2">
        <f t="shared" si="10"/>
        <v>1156.5730085348328</v>
      </c>
      <c r="U112" s="2">
        <f t="shared" si="11"/>
        <v>306.35452705973239</v>
      </c>
      <c r="V112" s="2">
        <f t="shared" si="12"/>
        <v>134.11141132394866</v>
      </c>
      <c r="W112" s="2">
        <f t="shared" si="13"/>
        <v>1597.0389469185138</v>
      </c>
      <c r="X112" s="2">
        <v>-7.3360000000000003</v>
      </c>
      <c r="Y112" s="2">
        <f t="shared" si="14"/>
        <v>5050.0389469185138</v>
      </c>
      <c r="Z112" s="2">
        <f t="shared" si="15"/>
        <v>18068.076000000001</v>
      </c>
      <c r="AA112">
        <f t="shared" si="16"/>
        <v>4163.4580000000005</v>
      </c>
      <c r="AB112">
        <f t="shared" si="17"/>
        <v>3286.4</v>
      </c>
    </row>
    <row r="113" spans="1:28" x14ac:dyDescent="0.25">
      <c r="A113" s="2">
        <v>9774</v>
      </c>
      <c r="B113" s="2">
        <v>10.5171959018904</v>
      </c>
      <c r="C113" s="2">
        <v>16.440000000000001</v>
      </c>
      <c r="D113" s="2">
        <f t="shared" si="9"/>
        <v>36.94</v>
      </c>
      <c r="E113" s="2">
        <v>2.96</v>
      </c>
      <c r="F113" s="2">
        <v>15.82</v>
      </c>
      <c r="G113" s="2">
        <v>0</v>
      </c>
      <c r="H113" s="2">
        <v>0</v>
      </c>
      <c r="I113" s="2">
        <v>0</v>
      </c>
      <c r="J113" s="2">
        <v>0</v>
      </c>
      <c r="K113" s="2">
        <v>15.5328040981095</v>
      </c>
      <c r="L113" s="2">
        <v>22.1897201401564</v>
      </c>
      <c r="M113" s="2">
        <v>0</v>
      </c>
      <c r="N113" s="2">
        <v>0</v>
      </c>
      <c r="O113" s="2">
        <v>1198</v>
      </c>
      <c r="P113" s="2">
        <v>-631</v>
      </c>
      <c r="Q113" s="2">
        <v>619</v>
      </c>
      <c r="R113" s="2">
        <v>774</v>
      </c>
      <c r="S113" s="2">
        <v>2065</v>
      </c>
      <c r="T113" s="2">
        <f t="shared" si="10"/>
        <v>1132.1276080902392</v>
      </c>
      <c r="U113" s="2">
        <f t="shared" si="11"/>
        <v>306.65282747556466</v>
      </c>
      <c r="V113" s="2">
        <f t="shared" si="12"/>
        <v>134.24199692406933</v>
      </c>
      <c r="W113" s="2">
        <f t="shared" si="13"/>
        <v>1573.0224324898732</v>
      </c>
      <c r="X113" s="2">
        <v>-7.2439999999999998</v>
      </c>
      <c r="Y113" s="2">
        <f t="shared" si="14"/>
        <v>5031.0224324898736</v>
      </c>
      <c r="Z113" s="2">
        <f t="shared" si="15"/>
        <v>17686.188000000002</v>
      </c>
      <c r="AA113">
        <f t="shared" si="16"/>
        <v>4167.5120000000006</v>
      </c>
      <c r="AB113">
        <f t="shared" si="17"/>
        <v>3289.6000000000004</v>
      </c>
    </row>
    <row r="114" spans="1:28" x14ac:dyDescent="0.25">
      <c r="A114" s="2">
        <v>9745</v>
      </c>
      <c r="B114" s="2">
        <v>10.4961773614293</v>
      </c>
      <c r="C114" s="2">
        <v>16.399999999999999</v>
      </c>
      <c r="D114" s="2">
        <f t="shared" si="9"/>
        <v>36.9</v>
      </c>
      <c r="E114" s="2">
        <v>2.96</v>
      </c>
      <c r="F114" s="2">
        <v>15.78</v>
      </c>
      <c r="G114" s="2">
        <v>0</v>
      </c>
      <c r="H114" s="2">
        <v>0</v>
      </c>
      <c r="I114" s="2">
        <v>1.3822638570608999E-2</v>
      </c>
      <c r="J114" s="2">
        <v>1.5358487300676699E-2</v>
      </c>
      <c r="K114" s="2">
        <v>15.54</v>
      </c>
      <c r="L114" s="2">
        <v>22.2</v>
      </c>
      <c r="M114" s="2">
        <v>0</v>
      </c>
      <c r="N114" s="2">
        <v>4</v>
      </c>
      <c r="O114" s="2">
        <v>1199</v>
      </c>
      <c r="P114" s="2">
        <v>-629</v>
      </c>
      <c r="Q114" s="2">
        <v>625</v>
      </c>
      <c r="R114" s="2">
        <v>773</v>
      </c>
      <c r="S114" s="2">
        <v>2065</v>
      </c>
      <c r="T114" s="2">
        <f t="shared" si="10"/>
        <v>1124.7430600392681</v>
      </c>
      <c r="U114" s="2">
        <f t="shared" si="11"/>
        <v>306.05622664390012</v>
      </c>
      <c r="V114" s="2">
        <f t="shared" si="12"/>
        <v>133.98082572382796</v>
      </c>
      <c r="W114" s="2">
        <f t="shared" si="13"/>
        <v>1564.7801124069963</v>
      </c>
      <c r="X114" s="2">
        <v>-7.2169999999999996</v>
      </c>
      <c r="Y114" s="2">
        <f t="shared" si="14"/>
        <v>5027.7801124069965</v>
      </c>
      <c r="Z114" s="2">
        <f t="shared" si="15"/>
        <v>17570.826000000001</v>
      </c>
      <c r="AA114">
        <f t="shared" si="16"/>
        <v>4159.4040000000005</v>
      </c>
      <c r="AB114">
        <f t="shared" si="17"/>
        <v>3283.2000000000003</v>
      </c>
    </row>
    <row r="115" spans="1:28" x14ac:dyDescent="0.25">
      <c r="A115" s="2">
        <v>9703</v>
      </c>
      <c r="B115" s="2">
        <v>10.642995912222499</v>
      </c>
      <c r="C115" s="2">
        <v>16.329999999999998</v>
      </c>
      <c r="D115" s="2">
        <f t="shared" si="9"/>
        <v>36.83</v>
      </c>
      <c r="E115" s="2">
        <v>3</v>
      </c>
      <c r="F115" s="2">
        <v>15.7</v>
      </c>
      <c r="G115" s="2">
        <v>0</v>
      </c>
      <c r="H115" s="2">
        <v>0</v>
      </c>
      <c r="I115" s="2">
        <v>0</v>
      </c>
      <c r="J115" s="2">
        <v>0</v>
      </c>
      <c r="K115" s="2">
        <v>15.4070040877774</v>
      </c>
      <c r="L115" s="2">
        <v>22.010005839682002</v>
      </c>
      <c r="M115" s="2">
        <v>0</v>
      </c>
      <c r="N115" s="2">
        <v>0</v>
      </c>
      <c r="O115" s="2">
        <v>1189</v>
      </c>
      <c r="P115" s="2">
        <v>-623</v>
      </c>
      <c r="Q115" s="2">
        <v>617</v>
      </c>
      <c r="R115" s="2">
        <v>772</v>
      </c>
      <c r="S115" s="2">
        <v>2069</v>
      </c>
      <c r="T115" s="2">
        <f t="shared" si="10"/>
        <v>1114.0481973447586</v>
      </c>
      <c r="U115" s="2">
        <f t="shared" si="11"/>
        <v>310.23243246555171</v>
      </c>
      <c r="V115" s="2">
        <f t="shared" si="12"/>
        <v>135.80902412551762</v>
      </c>
      <c r="W115" s="2">
        <f t="shared" si="13"/>
        <v>1560.089653935828</v>
      </c>
      <c r="X115" s="2">
        <v>-7.1550000000000002</v>
      </c>
      <c r="Y115" s="2">
        <f t="shared" si="14"/>
        <v>5018.0896539358282</v>
      </c>
      <c r="Z115" s="2">
        <f t="shared" si="15"/>
        <v>17403.75</v>
      </c>
      <c r="AA115">
        <f t="shared" si="16"/>
        <v>4216.16</v>
      </c>
      <c r="AB115">
        <f t="shared" si="17"/>
        <v>3328</v>
      </c>
    </row>
    <row r="116" spans="1:28" x14ac:dyDescent="0.25">
      <c r="A116" s="2">
        <v>9633</v>
      </c>
      <c r="B116" s="2">
        <v>10.5135201254871</v>
      </c>
      <c r="C116" s="2">
        <v>16.21</v>
      </c>
      <c r="D116" s="2">
        <f t="shared" si="9"/>
        <v>36.71</v>
      </c>
      <c r="E116" s="2">
        <v>2.99</v>
      </c>
      <c r="F116" s="2">
        <v>15.62</v>
      </c>
      <c r="G116" s="2">
        <v>0</v>
      </c>
      <c r="H116" s="2">
        <v>0</v>
      </c>
      <c r="I116" s="2">
        <v>0</v>
      </c>
      <c r="J116" s="2">
        <v>0</v>
      </c>
      <c r="K116" s="2">
        <v>15.5364798745128</v>
      </c>
      <c r="L116" s="2">
        <v>22.194971249304</v>
      </c>
      <c r="M116" s="2">
        <v>0</v>
      </c>
      <c r="N116" s="2">
        <v>0</v>
      </c>
      <c r="O116" s="2">
        <v>1199</v>
      </c>
      <c r="P116" s="2">
        <v>-619</v>
      </c>
      <c r="Q116" s="2">
        <v>630</v>
      </c>
      <c r="R116" s="2">
        <v>771</v>
      </c>
      <c r="S116" s="2">
        <v>2065</v>
      </c>
      <c r="T116" s="2">
        <f t="shared" si="10"/>
        <v>1096.2234261872425</v>
      </c>
      <c r="U116" s="2">
        <f t="shared" si="11"/>
        <v>306.65282747556466</v>
      </c>
      <c r="V116" s="2">
        <f t="shared" si="12"/>
        <v>134.24199692406933</v>
      </c>
      <c r="W116" s="2">
        <f t="shared" si="13"/>
        <v>1537.1182505868765</v>
      </c>
      <c r="X116" s="2">
        <v>-7.1109999999999998</v>
      </c>
      <c r="Y116" s="2">
        <f t="shared" si="14"/>
        <v>5003.1182505868765</v>
      </c>
      <c r="Z116" s="2">
        <f t="shared" si="15"/>
        <v>17125.29</v>
      </c>
      <c r="AA116">
        <f t="shared" si="16"/>
        <v>4167.5120000000006</v>
      </c>
      <c r="AB116">
        <f t="shared" si="17"/>
        <v>3289.6000000000004</v>
      </c>
    </row>
    <row r="117" spans="1:28" x14ac:dyDescent="0.25">
      <c r="A117" s="2">
        <v>9604</v>
      </c>
      <c r="B117" s="2">
        <v>10.510398975565</v>
      </c>
      <c r="C117" s="2">
        <v>16.16</v>
      </c>
      <c r="D117" s="2">
        <f t="shared" si="9"/>
        <v>36.659999999999997</v>
      </c>
      <c r="E117" s="2">
        <v>3</v>
      </c>
      <c r="F117" s="2">
        <v>15.58</v>
      </c>
      <c r="G117" s="2">
        <v>0</v>
      </c>
      <c r="H117" s="2">
        <v>0</v>
      </c>
      <c r="I117" s="2">
        <v>0</v>
      </c>
      <c r="J117" s="2">
        <v>0</v>
      </c>
      <c r="K117" s="2">
        <v>15.5396010244349</v>
      </c>
      <c r="L117" s="2">
        <v>22.199430034907</v>
      </c>
      <c r="M117" s="2">
        <v>0</v>
      </c>
      <c r="N117" s="2">
        <v>0</v>
      </c>
      <c r="O117" s="2">
        <v>1199</v>
      </c>
      <c r="P117" s="2">
        <v>-617</v>
      </c>
      <c r="Q117" s="2">
        <v>633</v>
      </c>
      <c r="R117" s="2">
        <v>770</v>
      </c>
      <c r="S117" s="2">
        <v>2065</v>
      </c>
      <c r="T117" s="2">
        <f t="shared" si="10"/>
        <v>1088.8388781362714</v>
      </c>
      <c r="U117" s="2">
        <f t="shared" si="11"/>
        <v>306.35452705973239</v>
      </c>
      <c r="V117" s="2">
        <f t="shared" si="12"/>
        <v>134.11141132394866</v>
      </c>
      <c r="W117" s="2">
        <f t="shared" si="13"/>
        <v>1529.3048165199525</v>
      </c>
      <c r="X117" s="2">
        <v>-7.0839999999999996</v>
      </c>
      <c r="Y117" s="2">
        <f t="shared" si="14"/>
        <v>4997.3048165199525</v>
      </c>
      <c r="Z117" s="2">
        <f t="shared" si="15"/>
        <v>17009.928</v>
      </c>
      <c r="AA117">
        <f t="shared" si="16"/>
        <v>4163.4580000000005</v>
      </c>
      <c r="AB117">
        <f t="shared" si="17"/>
        <v>3286.4</v>
      </c>
    </row>
    <row r="118" spans="1:28" x14ac:dyDescent="0.25">
      <c r="A118" s="2">
        <v>9603</v>
      </c>
      <c r="B118" s="2">
        <v>10.5332661189811</v>
      </c>
      <c r="C118" s="2">
        <v>16.16</v>
      </c>
      <c r="D118" s="2">
        <f t="shared" si="9"/>
        <v>36.659999999999997</v>
      </c>
      <c r="E118" s="2">
        <v>3</v>
      </c>
      <c r="F118" s="2">
        <v>15.57</v>
      </c>
      <c r="G118" s="2">
        <v>0</v>
      </c>
      <c r="H118" s="2">
        <v>0</v>
      </c>
      <c r="I118" s="2">
        <v>0</v>
      </c>
      <c r="J118" s="2">
        <v>0</v>
      </c>
      <c r="K118" s="2">
        <v>15.5167338810188</v>
      </c>
      <c r="L118" s="2">
        <v>22.166762687169701</v>
      </c>
      <c r="M118" s="2">
        <v>0</v>
      </c>
      <c r="N118" s="2">
        <v>0</v>
      </c>
      <c r="O118" s="2">
        <v>1197</v>
      </c>
      <c r="P118" s="2">
        <v>-617</v>
      </c>
      <c r="Q118" s="2">
        <v>632</v>
      </c>
      <c r="R118" s="2">
        <v>770</v>
      </c>
      <c r="S118" s="2">
        <v>2065</v>
      </c>
      <c r="T118" s="2">
        <f t="shared" si="10"/>
        <v>1088.584238548307</v>
      </c>
      <c r="U118" s="2">
        <f t="shared" si="11"/>
        <v>306.95112789139688</v>
      </c>
      <c r="V118" s="2">
        <f t="shared" si="12"/>
        <v>134.37258252419002</v>
      </c>
      <c r="W118" s="2">
        <f t="shared" si="13"/>
        <v>1529.9079489638939</v>
      </c>
      <c r="X118" s="2">
        <v>-7.0789999999999997</v>
      </c>
      <c r="Y118" s="2">
        <f t="shared" si="14"/>
        <v>4996.9079489638934</v>
      </c>
      <c r="Z118" s="2">
        <f t="shared" si="15"/>
        <v>17005.95</v>
      </c>
      <c r="AA118">
        <f t="shared" si="16"/>
        <v>4171.5660000000007</v>
      </c>
      <c r="AB118">
        <f t="shared" si="17"/>
        <v>3292.8</v>
      </c>
    </row>
    <row r="119" spans="1:28" x14ac:dyDescent="0.25">
      <c r="A119" s="2">
        <v>9501</v>
      </c>
      <c r="B119" s="2">
        <v>10.5184523647206</v>
      </c>
      <c r="C119" s="2">
        <v>15.99</v>
      </c>
      <c r="D119" s="2">
        <f t="shared" si="9"/>
        <v>36.49</v>
      </c>
      <c r="E119" s="2">
        <v>3.02</v>
      </c>
      <c r="F119" s="2">
        <v>15.43</v>
      </c>
      <c r="G119" s="2">
        <v>0</v>
      </c>
      <c r="H119" s="2">
        <v>0</v>
      </c>
      <c r="I119" s="2">
        <v>0</v>
      </c>
      <c r="J119" s="2">
        <v>0</v>
      </c>
      <c r="K119" s="2">
        <v>15.531547635279299</v>
      </c>
      <c r="L119" s="2">
        <v>22.187925193256198</v>
      </c>
      <c r="M119" s="2">
        <v>0</v>
      </c>
      <c r="N119" s="2">
        <v>0</v>
      </c>
      <c r="O119" s="2">
        <v>1198</v>
      </c>
      <c r="P119" s="2">
        <v>-609</v>
      </c>
      <c r="Q119" s="2">
        <v>641</v>
      </c>
      <c r="R119" s="2">
        <v>767</v>
      </c>
      <c r="S119" s="2">
        <v>2065</v>
      </c>
      <c r="T119" s="2">
        <f t="shared" si="10"/>
        <v>1062.6110005759263</v>
      </c>
      <c r="U119" s="2">
        <f t="shared" si="11"/>
        <v>306.65282747556466</v>
      </c>
      <c r="V119" s="2">
        <f t="shared" si="12"/>
        <v>134.24199692406933</v>
      </c>
      <c r="W119" s="2">
        <f t="shared" si="13"/>
        <v>1503.5058249755602</v>
      </c>
      <c r="X119" s="2">
        <v>-6.9850000000000003</v>
      </c>
      <c r="Y119" s="2">
        <f t="shared" si="14"/>
        <v>4976.5058249755602</v>
      </c>
      <c r="Z119" s="2">
        <f t="shared" si="15"/>
        <v>16600.194</v>
      </c>
      <c r="AA119">
        <f t="shared" si="16"/>
        <v>4167.5120000000006</v>
      </c>
      <c r="AB119">
        <f t="shared" si="17"/>
        <v>3289.6000000000004</v>
      </c>
    </row>
    <row r="120" spans="1:28" x14ac:dyDescent="0.25">
      <c r="A120" s="2">
        <v>9482</v>
      </c>
      <c r="B120" s="2">
        <v>10.5383465600714</v>
      </c>
      <c r="C120" s="2">
        <v>15.95</v>
      </c>
      <c r="D120" s="2">
        <f t="shared" si="9"/>
        <v>36.450000000000003</v>
      </c>
      <c r="E120" s="2">
        <v>3.03</v>
      </c>
      <c r="F120" s="2">
        <v>15.4</v>
      </c>
      <c r="G120" s="2">
        <v>0</v>
      </c>
      <c r="H120" s="2">
        <v>0</v>
      </c>
      <c r="I120" s="2">
        <v>0</v>
      </c>
      <c r="J120" s="2">
        <v>0</v>
      </c>
      <c r="K120" s="2">
        <v>15.5116534399285</v>
      </c>
      <c r="L120" s="2">
        <v>22.1595049141836</v>
      </c>
      <c r="M120" s="2">
        <v>0</v>
      </c>
      <c r="N120" s="2">
        <v>0</v>
      </c>
      <c r="O120" s="2">
        <v>1197</v>
      </c>
      <c r="P120" s="2">
        <v>-607</v>
      </c>
      <c r="Q120" s="2">
        <v>641</v>
      </c>
      <c r="R120" s="2">
        <v>767</v>
      </c>
      <c r="S120" s="2">
        <v>2065</v>
      </c>
      <c r="T120" s="2">
        <f t="shared" si="10"/>
        <v>1057.7728484046006</v>
      </c>
      <c r="U120" s="2">
        <f t="shared" si="11"/>
        <v>307.2494283072291</v>
      </c>
      <c r="V120" s="2">
        <f t="shared" si="12"/>
        <v>134.50316812431072</v>
      </c>
      <c r="W120" s="2">
        <f t="shared" si="13"/>
        <v>1499.5254448361407</v>
      </c>
      <c r="X120" s="2">
        <v>-6.9640000000000004</v>
      </c>
      <c r="Y120" s="2">
        <f t="shared" si="14"/>
        <v>4972.5254448361411</v>
      </c>
      <c r="Z120" s="2">
        <f t="shared" si="15"/>
        <v>16524.612000000001</v>
      </c>
      <c r="AA120">
        <f t="shared" si="16"/>
        <v>4175.62</v>
      </c>
      <c r="AB120">
        <f t="shared" si="17"/>
        <v>3296</v>
      </c>
    </row>
    <row r="121" spans="1:28" x14ac:dyDescent="0.25">
      <c r="A121" s="2">
        <v>9416</v>
      </c>
      <c r="B121" s="2">
        <v>10.5103291330015</v>
      </c>
      <c r="C121" s="2">
        <v>15.84</v>
      </c>
      <c r="D121" s="2">
        <f t="shared" si="9"/>
        <v>36.340000000000003</v>
      </c>
      <c r="E121" s="2">
        <v>3.04</v>
      </c>
      <c r="F121" s="2">
        <v>15.3</v>
      </c>
      <c r="G121" s="2">
        <v>0</v>
      </c>
      <c r="H121" s="2">
        <v>0</v>
      </c>
      <c r="I121" s="2">
        <v>0</v>
      </c>
      <c r="J121" s="2">
        <v>0</v>
      </c>
      <c r="K121" s="2">
        <v>15.539670866998399</v>
      </c>
      <c r="L121" s="2">
        <v>22.199529809997699</v>
      </c>
      <c r="M121" s="2">
        <v>0</v>
      </c>
      <c r="N121" s="2">
        <v>0</v>
      </c>
      <c r="O121" s="2">
        <v>1199</v>
      </c>
      <c r="P121" s="2">
        <v>-602</v>
      </c>
      <c r="Q121" s="2">
        <v>648</v>
      </c>
      <c r="R121" s="2">
        <v>765</v>
      </c>
      <c r="S121" s="2">
        <v>2065</v>
      </c>
      <c r="T121" s="2">
        <f t="shared" si="10"/>
        <v>1040.9666355989425</v>
      </c>
      <c r="U121" s="2">
        <f t="shared" si="11"/>
        <v>306.35452705973239</v>
      </c>
      <c r="V121" s="2">
        <f t="shared" si="12"/>
        <v>134.11141132394866</v>
      </c>
      <c r="W121" s="2">
        <f t="shared" si="13"/>
        <v>1481.4325739826236</v>
      </c>
      <c r="X121" s="2">
        <v>-6.9059999999999997</v>
      </c>
      <c r="Y121" s="2">
        <f t="shared" si="14"/>
        <v>4959.4325739826236</v>
      </c>
      <c r="Z121" s="2">
        <f t="shared" si="15"/>
        <v>16262.064</v>
      </c>
      <c r="AA121">
        <f t="shared" si="16"/>
        <v>4163.4580000000005</v>
      </c>
      <c r="AB121">
        <f t="shared" si="17"/>
        <v>3286.4</v>
      </c>
    </row>
    <row r="122" spans="1:28" x14ac:dyDescent="0.25">
      <c r="A122" s="2">
        <v>9336</v>
      </c>
      <c r="B122" s="2">
        <v>10.577512888678999</v>
      </c>
      <c r="C122" s="2">
        <v>15.71</v>
      </c>
      <c r="D122" s="2">
        <f t="shared" si="9"/>
        <v>36.21</v>
      </c>
      <c r="E122" s="2">
        <v>3.08</v>
      </c>
      <c r="F122" s="2">
        <v>15.18</v>
      </c>
      <c r="G122" s="2">
        <v>0</v>
      </c>
      <c r="H122" s="2">
        <v>0</v>
      </c>
      <c r="I122" s="2">
        <v>0</v>
      </c>
      <c r="J122" s="2">
        <v>0</v>
      </c>
      <c r="K122" s="2">
        <v>15.4724871113209</v>
      </c>
      <c r="L122" s="2">
        <v>22.1035530161727</v>
      </c>
      <c r="M122" s="2">
        <v>0</v>
      </c>
      <c r="N122" s="2">
        <v>0</v>
      </c>
      <c r="O122" s="2">
        <v>1194</v>
      </c>
      <c r="P122" s="2">
        <v>-594</v>
      </c>
      <c r="Q122" s="2">
        <v>651</v>
      </c>
      <c r="R122" s="2">
        <v>763</v>
      </c>
      <c r="S122" s="2">
        <v>2067</v>
      </c>
      <c r="T122" s="2">
        <f t="shared" si="10"/>
        <v>1020.5954685617811</v>
      </c>
      <c r="U122" s="2">
        <f t="shared" si="11"/>
        <v>308.44262997055813</v>
      </c>
      <c r="V122" s="2">
        <f t="shared" si="12"/>
        <v>135.02551052479348</v>
      </c>
      <c r="W122" s="2">
        <f t="shared" si="13"/>
        <v>1464.0636090571327</v>
      </c>
      <c r="X122" s="2">
        <v>-6.819</v>
      </c>
      <c r="Y122" s="2">
        <f t="shared" si="14"/>
        <v>4945.0636090571325</v>
      </c>
      <c r="Z122" s="2">
        <f t="shared" si="15"/>
        <v>15943.824000000001</v>
      </c>
      <c r="AA122">
        <f t="shared" si="16"/>
        <v>4191.8360000000002</v>
      </c>
      <c r="AB122">
        <f t="shared" si="17"/>
        <v>3308.8</v>
      </c>
    </row>
    <row r="123" spans="1:28" x14ac:dyDescent="0.25">
      <c r="A123" s="2">
        <v>9282</v>
      </c>
      <c r="B123" s="2">
        <v>10.512979935468399</v>
      </c>
      <c r="C123" s="2">
        <v>15.62</v>
      </c>
      <c r="D123" s="2">
        <f t="shared" si="9"/>
        <v>36.119999999999997</v>
      </c>
      <c r="E123" s="2">
        <v>3.08</v>
      </c>
      <c r="F123" s="2">
        <v>15.11</v>
      </c>
      <c r="G123" s="2">
        <v>0</v>
      </c>
      <c r="H123" s="2">
        <v>0</v>
      </c>
      <c r="I123" s="2">
        <v>0</v>
      </c>
      <c r="J123" s="2">
        <v>0</v>
      </c>
      <c r="K123" s="2">
        <v>15.5370200645315</v>
      </c>
      <c r="L123" s="2">
        <v>22.1957429493307</v>
      </c>
      <c r="M123" s="2">
        <v>0</v>
      </c>
      <c r="N123" s="2">
        <v>0</v>
      </c>
      <c r="O123" s="2">
        <v>1199</v>
      </c>
      <c r="P123" s="2">
        <v>-591</v>
      </c>
      <c r="Q123" s="2">
        <v>659</v>
      </c>
      <c r="R123" s="2">
        <v>762</v>
      </c>
      <c r="S123" s="2">
        <v>2065</v>
      </c>
      <c r="T123" s="2">
        <f t="shared" si="10"/>
        <v>1006.8449308116972</v>
      </c>
      <c r="U123" s="2">
        <f t="shared" si="11"/>
        <v>306.35452705973239</v>
      </c>
      <c r="V123" s="2">
        <f t="shared" si="12"/>
        <v>134.11141132394866</v>
      </c>
      <c r="W123" s="2">
        <f t="shared" si="13"/>
        <v>1447.3108691953782</v>
      </c>
      <c r="X123" s="2">
        <v>-6.7789999999999999</v>
      </c>
      <c r="Y123" s="2">
        <f t="shared" si="14"/>
        <v>4933.3108691953785</v>
      </c>
      <c r="Z123" s="2">
        <f t="shared" si="15"/>
        <v>15729.012000000001</v>
      </c>
      <c r="AA123">
        <f t="shared" si="16"/>
        <v>4163.4580000000005</v>
      </c>
      <c r="AB123">
        <f t="shared" si="17"/>
        <v>3286.4</v>
      </c>
    </row>
    <row r="124" spans="1:28" x14ac:dyDescent="0.25">
      <c r="A124" s="2">
        <v>9267</v>
      </c>
      <c r="B124" s="2">
        <v>10.507911989265899</v>
      </c>
      <c r="C124" s="2">
        <v>15.59</v>
      </c>
      <c r="D124" s="2">
        <f t="shared" si="9"/>
        <v>36.090000000000003</v>
      </c>
      <c r="E124" s="2">
        <v>3.08</v>
      </c>
      <c r="F124" s="2">
        <v>15.09</v>
      </c>
      <c r="G124" s="2">
        <v>0</v>
      </c>
      <c r="H124" s="2">
        <v>0</v>
      </c>
      <c r="I124" s="2">
        <v>2.0880107340737102E-3</v>
      </c>
      <c r="J124" s="2">
        <v>2.3200119267485701E-3</v>
      </c>
      <c r="K124" s="2">
        <v>15.54</v>
      </c>
      <c r="L124" s="2">
        <v>22.2</v>
      </c>
      <c r="M124" s="2">
        <v>0</v>
      </c>
      <c r="N124" s="2">
        <v>1</v>
      </c>
      <c r="O124" s="2">
        <v>1199</v>
      </c>
      <c r="P124" s="2">
        <v>-589</v>
      </c>
      <c r="Q124" s="2">
        <v>661</v>
      </c>
      <c r="R124" s="2">
        <v>761</v>
      </c>
      <c r="S124" s="2">
        <v>2065</v>
      </c>
      <c r="T124" s="2">
        <f t="shared" si="10"/>
        <v>1003.0253369922294</v>
      </c>
      <c r="U124" s="2">
        <f t="shared" si="11"/>
        <v>306.35452705973239</v>
      </c>
      <c r="V124" s="2">
        <f t="shared" si="12"/>
        <v>134.11141132394866</v>
      </c>
      <c r="W124" s="2">
        <f t="shared" si="13"/>
        <v>1443.4912753759104</v>
      </c>
      <c r="X124" s="2">
        <v>-6.7649999999999997</v>
      </c>
      <c r="Y124" s="2">
        <f t="shared" si="14"/>
        <v>4930.4912753759108</v>
      </c>
      <c r="Z124" s="2">
        <f t="shared" si="15"/>
        <v>15669.342000000001</v>
      </c>
      <c r="AA124">
        <f t="shared" si="16"/>
        <v>4163.4580000000005</v>
      </c>
      <c r="AB124">
        <f t="shared" si="17"/>
        <v>3286.4</v>
      </c>
    </row>
    <row r="125" spans="1:28" x14ac:dyDescent="0.25">
      <c r="A125" s="2">
        <v>9191</v>
      </c>
      <c r="B125" s="2">
        <v>10.512985714586399</v>
      </c>
      <c r="C125" s="2">
        <v>15.46</v>
      </c>
      <c r="D125" s="2">
        <f t="shared" si="9"/>
        <v>35.96</v>
      </c>
      <c r="E125" s="2">
        <v>3.1</v>
      </c>
      <c r="F125" s="2">
        <v>14.98</v>
      </c>
      <c r="G125" s="2">
        <v>0</v>
      </c>
      <c r="H125" s="2">
        <v>0</v>
      </c>
      <c r="I125" s="2">
        <v>0</v>
      </c>
      <c r="J125" s="2">
        <v>0</v>
      </c>
      <c r="K125" s="2">
        <v>15.5370142854135</v>
      </c>
      <c r="L125" s="2">
        <v>22.1957346934479</v>
      </c>
      <c r="M125" s="2">
        <v>0</v>
      </c>
      <c r="N125" s="2">
        <v>0</v>
      </c>
      <c r="O125" s="2">
        <v>1199</v>
      </c>
      <c r="P125" s="2">
        <v>-583</v>
      </c>
      <c r="Q125" s="2">
        <v>667</v>
      </c>
      <c r="R125" s="2">
        <v>760</v>
      </c>
      <c r="S125" s="2">
        <v>2065</v>
      </c>
      <c r="T125" s="2">
        <f t="shared" si="10"/>
        <v>983.67272830692627</v>
      </c>
      <c r="U125" s="2">
        <f t="shared" si="11"/>
        <v>306.35452705973239</v>
      </c>
      <c r="V125" s="2">
        <f t="shared" si="12"/>
        <v>134.11141132394866</v>
      </c>
      <c r="W125" s="2">
        <f t="shared" si="13"/>
        <v>1424.1386666906074</v>
      </c>
      <c r="X125" s="2">
        <v>-6.6920000000000002</v>
      </c>
      <c r="Y125" s="2">
        <f t="shared" si="14"/>
        <v>4916.1386666906074</v>
      </c>
      <c r="Z125" s="2">
        <f t="shared" si="15"/>
        <v>15367.014000000001</v>
      </c>
      <c r="AA125">
        <f t="shared" si="16"/>
        <v>4163.4580000000005</v>
      </c>
      <c r="AB125">
        <f t="shared" si="17"/>
        <v>3286.4</v>
      </c>
    </row>
    <row r="126" spans="1:28" x14ac:dyDescent="0.25">
      <c r="A126" s="2">
        <v>9184</v>
      </c>
      <c r="B126" s="2">
        <v>10.5411147144155</v>
      </c>
      <c r="C126" s="2">
        <v>15.45</v>
      </c>
      <c r="D126" s="2">
        <f t="shared" si="9"/>
        <v>35.950000000000003</v>
      </c>
      <c r="E126" s="2">
        <v>3.11</v>
      </c>
      <c r="F126" s="2">
        <v>14.97</v>
      </c>
      <c r="G126" s="2">
        <v>0</v>
      </c>
      <c r="H126" s="2">
        <v>0</v>
      </c>
      <c r="I126" s="2">
        <v>0</v>
      </c>
      <c r="J126" s="2">
        <v>0</v>
      </c>
      <c r="K126" s="2">
        <v>15.5088852855844</v>
      </c>
      <c r="L126" s="2">
        <v>22.155550407977799</v>
      </c>
      <c r="M126" s="2">
        <v>0</v>
      </c>
      <c r="N126" s="2">
        <v>0</v>
      </c>
      <c r="O126" s="2">
        <v>1196</v>
      </c>
      <c r="P126" s="2">
        <v>-582</v>
      </c>
      <c r="Q126" s="2">
        <v>666</v>
      </c>
      <c r="R126" s="2">
        <v>759</v>
      </c>
      <c r="S126" s="2">
        <v>2065</v>
      </c>
      <c r="T126" s="2">
        <f t="shared" si="10"/>
        <v>981.89025119117468</v>
      </c>
      <c r="U126" s="2">
        <f t="shared" si="11"/>
        <v>307.2494283072291</v>
      </c>
      <c r="V126" s="2">
        <f t="shared" si="12"/>
        <v>134.50316812431072</v>
      </c>
      <c r="W126" s="2">
        <f t="shared" si="13"/>
        <v>1423.6428476227147</v>
      </c>
      <c r="X126" s="2">
        <v>-6.681</v>
      </c>
      <c r="Y126" s="2">
        <f t="shared" si="14"/>
        <v>4913.6428476227147</v>
      </c>
      <c r="Z126" s="2">
        <f t="shared" si="15"/>
        <v>15339.168000000001</v>
      </c>
      <c r="AA126">
        <f t="shared" si="16"/>
        <v>4175.62</v>
      </c>
      <c r="AB126">
        <f t="shared" si="17"/>
        <v>3296</v>
      </c>
    </row>
    <row r="127" spans="1:28" x14ac:dyDescent="0.25">
      <c r="A127" s="2">
        <v>9106</v>
      </c>
      <c r="B127" s="2">
        <v>10.541453501338699</v>
      </c>
      <c r="C127" s="2">
        <v>15.32</v>
      </c>
      <c r="D127" s="2">
        <f t="shared" si="9"/>
        <v>35.82</v>
      </c>
      <c r="E127" s="2">
        <v>3.13</v>
      </c>
      <c r="F127" s="2">
        <v>14.86</v>
      </c>
      <c r="G127" s="2">
        <v>0</v>
      </c>
      <c r="H127" s="2">
        <v>0</v>
      </c>
      <c r="I127" s="2">
        <v>0</v>
      </c>
      <c r="J127" s="2">
        <v>0</v>
      </c>
      <c r="K127" s="2">
        <v>15.5085464986612</v>
      </c>
      <c r="L127" s="2">
        <v>22.155066426658902</v>
      </c>
      <c r="M127" s="2">
        <v>0</v>
      </c>
      <c r="N127" s="2">
        <v>0</v>
      </c>
      <c r="O127" s="2">
        <v>1196</v>
      </c>
      <c r="P127" s="2">
        <v>-575</v>
      </c>
      <c r="Q127" s="2">
        <v>673</v>
      </c>
      <c r="R127" s="2">
        <v>757</v>
      </c>
      <c r="S127" s="2">
        <v>2065</v>
      </c>
      <c r="T127" s="2">
        <f t="shared" si="10"/>
        <v>962.02836332994229</v>
      </c>
      <c r="U127" s="2">
        <f t="shared" si="11"/>
        <v>307.2494283072291</v>
      </c>
      <c r="V127" s="2">
        <f t="shared" si="12"/>
        <v>134.50316812431072</v>
      </c>
      <c r="W127" s="2">
        <f t="shared" si="13"/>
        <v>1403.7809597614823</v>
      </c>
      <c r="X127" s="2">
        <v>-6.6070000000000002</v>
      </c>
      <c r="Y127" s="2">
        <f t="shared" si="14"/>
        <v>4898.7809597614823</v>
      </c>
      <c r="Z127" s="2">
        <f t="shared" si="15"/>
        <v>15028.884</v>
      </c>
      <c r="AA127">
        <f t="shared" si="16"/>
        <v>4175.62</v>
      </c>
      <c r="AB127">
        <f t="shared" si="17"/>
        <v>3296</v>
      </c>
    </row>
    <row r="128" spans="1:28" x14ac:dyDescent="0.25">
      <c r="A128" s="2">
        <v>9039</v>
      </c>
      <c r="B128" s="2">
        <v>10.5129239966796</v>
      </c>
      <c r="C128" s="2">
        <v>15.21</v>
      </c>
      <c r="D128" s="2">
        <f t="shared" si="9"/>
        <v>35.71</v>
      </c>
      <c r="E128" s="2">
        <v>3.14</v>
      </c>
      <c r="F128" s="2">
        <v>14.76</v>
      </c>
      <c r="G128" s="2">
        <v>0</v>
      </c>
      <c r="H128" s="2">
        <v>0</v>
      </c>
      <c r="I128" s="2">
        <v>0</v>
      </c>
      <c r="J128" s="2">
        <v>0</v>
      </c>
      <c r="K128" s="2">
        <v>15.537076003320299</v>
      </c>
      <c r="L128" s="2">
        <v>22.195822861886199</v>
      </c>
      <c r="M128" s="2">
        <v>0</v>
      </c>
      <c r="N128" s="2">
        <v>0</v>
      </c>
      <c r="O128" s="2">
        <v>1199</v>
      </c>
      <c r="P128" s="2">
        <v>-570</v>
      </c>
      <c r="Q128" s="2">
        <v>680</v>
      </c>
      <c r="R128" s="2">
        <v>756</v>
      </c>
      <c r="S128" s="2">
        <v>2065</v>
      </c>
      <c r="T128" s="2">
        <f t="shared" si="10"/>
        <v>944.96751093631974</v>
      </c>
      <c r="U128" s="2">
        <f t="shared" si="11"/>
        <v>306.35452705973239</v>
      </c>
      <c r="V128" s="2">
        <f t="shared" si="12"/>
        <v>134.11141132394866</v>
      </c>
      <c r="W128" s="2">
        <f t="shared" si="13"/>
        <v>1385.4334493200008</v>
      </c>
      <c r="X128" s="2">
        <v>-6.548</v>
      </c>
      <c r="Y128" s="2">
        <f t="shared" si="14"/>
        <v>4886.4334493200004</v>
      </c>
      <c r="Z128" s="2">
        <f t="shared" si="15"/>
        <v>14762.358</v>
      </c>
      <c r="AA128">
        <f t="shared" si="16"/>
        <v>4163.4580000000005</v>
      </c>
      <c r="AB128">
        <f t="shared" si="17"/>
        <v>3286.4</v>
      </c>
    </row>
    <row r="129" spans="1:28" x14ac:dyDescent="0.25">
      <c r="A129" s="2">
        <v>9005</v>
      </c>
      <c r="B129" s="2">
        <v>10.5383465600714</v>
      </c>
      <c r="C129" s="2">
        <v>15.15</v>
      </c>
      <c r="D129" s="2">
        <f t="shared" si="9"/>
        <v>35.65</v>
      </c>
      <c r="E129" s="2">
        <v>3.15</v>
      </c>
      <c r="F129" s="2">
        <v>14.71</v>
      </c>
      <c r="G129" s="2">
        <v>0</v>
      </c>
      <c r="H129" s="2">
        <v>0</v>
      </c>
      <c r="I129" s="2">
        <v>0</v>
      </c>
      <c r="J129" s="2">
        <v>0</v>
      </c>
      <c r="K129" s="2">
        <v>15.5116534399285</v>
      </c>
      <c r="L129" s="2">
        <v>22.1595049141836</v>
      </c>
      <c r="M129" s="2">
        <v>0</v>
      </c>
      <c r="N129" s="2">
        <v>0</v>
      </c>
      <c r="O129" s="2">
        <v>1197</v>
      </c>
      <c r="P129" s="2">
        <v>-566</v>
      </c>
      <c r="Q129" s="2">
        <v>681</v>
      </c>
      <c r="R129" s="2">
        <v>755</v>
      </c>
      <c r="S129" s="2">
        <v>2065</v>
      </c>
      <c r="T129" s="2">
        <f t="shared" si="10"/>
        <v>936.30976494552624</v>
      </c>
      <c r="U129" s="2">
        <f t="shared" si="11"/>
        <v>307.2494283072291</v>
      </c>
      <c r="V129" s="2">
        <f t="shared" si="12"/>
        <v>134.50316812431072</v>
      </c>
      <c r="W129" s="2">
        <f t="shared" si="13"/>
        <v>1378.0623613770663</v>
      </c>
      <c r="X129" s="2">
        <v>-6.5119999999999996</v>
      </c>
      <c r="Y129" s="2">
        <f t="shared" si="14"/>
        <v>4879.0623613770658</v>
      </c>
      <c r="Z129" s="2">
        <f t="shared" si="15"/>
        <v>14627.106000000002</v>
      </c>
      <c r="AA129">
        <f t="shared" si="16"/>
        <v>4175.62</v>
      </c>
      <c r="AB129">
        <f t="shared" si="17"/>
        <v>3296</v>
      </c>
    </row>
    <row r="130" spans="1:28" x14ac:dyDescent="0.25">
      <c r="A130" s="2">
        <v>8957</v>
      </c>
      <c r="B130" s="2">
        <v>10.5100001591563</v>
      </c>
      <c r="C130" s="2">
        <v>15.07</v>
      </c>
      <c r="D130" s="2">
        <f t="shared" si="9"/>
        <v>35.57</v>
      </c>
      <c r="E130" s="2">
        <v>3.16</v>
      </c>
      <c r="F130" s="2">
        <v>14.65</v>
      </c>
      <c r="G130" s="2">
        <v>0</v>
      </c>
      <c r="H130" s="2">
        <v>0</v>
      </c>
      <c r="I130" s="2">
        <v>0</v>
      </c>
      <c r="J130" s="2">
        <v>0</v>
      </c>
      <c r="K130" s="2">
        <v>15.539999840843601</v>
      </c>
      <c r="L130" s="2">
        <v>22.199999772633699</v>
      </c>
      <c r="M130" s="2">
        <v>0</v>
      </c>
      <c r="N130" s="2">
        <v>0</v>
      </c>
      <c r="O130" s="2">
        <v>1199</v>
      </c>
      <c r="P130" s="2">
        <v>-563</v>
      </c>
      <c r="Q130" s="2">
        <v>687</v>
      </c>
      <c r="R130" s="2">
        <v>754</v>
      </c>
      <c r="S130" s="2">
        <v>2065</v>
      </c>
      <c r="T130" s="2">
        <f t="shared" si="10"/>
        <v>924.08706472322956</v>
      </c>
      <c r="U130" s="2">
        <f t="shared" si="11"/>
        <v>306.35452705973239</v>
      </c>
      <c r="V130" s="2">
        <f t="shared" si="12"/>
        <v>134.11141132394866</v>
      </c>
      <c r="W130" s="2">
        <f t="shared" si="13"/>
        <v>1364.5530031069106</v>
      </c>
      <c r="X130" s="2">
        <v>-6.4710000000000001</v>
      </c>
      <c r="Y130" s="2">
        <f t="shared" si="14"/>
        <v>4870.5530031069102</v>
      </c>
      <c r="Z130" s="2">
        <f t="shared" si="15"/>
        <v>14436.162</v>
      </c>
      <c r="AA130">
        <f t="shared" si="16"/>
        <v>4163.4580000000005</v>
      </c>
      <c r="AB130">
        <f t="shared" si="17"/>
        <v>3286.4</v>
      </c>
    </row>
    <row r="131" spans="1:28" x14ac:dyDescent="0.25">
      <c r="A131" s="2">
        <v>8908</v>
      </c>
      <c r="B131" s="2">
        <v>10.543883702964999</v>
      </c>
      <c r="C131" s="2">
        <v>14.99</v>
      </c>
      <c r="D131" s="2">
        <f t="shared" si="9"/>
        <v>35.49</v>
      </c>
      <c r="E131" s="2">
        <v>3.17</v>
      </c>
      <c r="F131" s="2">
        <v>14.57</v>
      </c>
      <c r="G131" s="2">
        <v>0</v>
      </c>
      <c r="H131" s="2">
        <v>0</v>
      </c>
      <c r="I131" s="2">
        <v>0</v>
      </c>
      <c r="J131" s="2">
        <v>0</v>
      </c>
      <c r="K131" s="2">
        <v>15.5061162970349</v>
      </c>
      <c r="L131" s="2">
        <v>22.151594710049899</v>
      </c>
      <c r="M131" s="2">
        <v>0</v>
      </c>
      <c r="N131" s="2">
        <v>0</v>
      </c>
      <c r="O131" s="2">
        <v>1196</v>
      </c>
      <c r="P131" s="2">
        <v>-558</v>
      </c>
      <c r="Q131" s="2">
        <v>689</v>
      </c>
      <c r="R131" s="2">
        <v>752</v>
      </c>
      <c r="S131" s="2">
        <v>2065</v>
      </c>
      <c r="T131" s="2">
        <f t="shared" si="10"/>
        <v>911.6097249129682</v>
      </c>
      <c r="U131" s="2">
        <f t="shared" si="11"/>
        <v>307.2494283072291</v>
      </c>
      <c r="V131" s="2">
        <f t="shared" si="12"/>
        <v>134.50316812431072</v>
      </c>
      <c r="W131" s="2">
        <f t="shared" si="13"/>
        <v>1353.362321344508</v>
      </c>
      <c r="X131" s="2">
        <v>-6.4189999999999996</v>
      </c>
      <c r="Y131" s="2">
        <f t="shared" si="14"/>
        <v>4859.362321344508</v>
      </c>
      <c r="Z131" s="2">
        <f t="shared" si="15"/>
        <v>14241.240000000002</v>
      </c>
      <c r="AA131">
        <f t="shared" si="16"/>
        <v>4175.62</v>
      </c>
      <c r="AB131">
        <f t="shared" si="17"/>
        <v>3296</v>
      </c>
    </row>
    <row r="132" spans="1:28" x14ac:dyDescent="0.25">
      <c r="A132" s="2">
        <v>8869</v>
      </c>
      <c r="B132" s="2">
        <v>10.5007586543275</v>
      </c>
      <c r="C132" s="2">
        <v>14.92</v>
      </c>
      <c r="D132" s="2">
        <f t="shared" si="9"/>
        <v>35.42</v>
      </c>
      <c r="E132" s="2">
        <v>3.18</v>
      </c>
      <c r="F132" s="2">
        <v>14.52</v>
      </c>
      <c r="G132" s="2">
        <v>0</v>
      </c>
      <c r="H132" s="2">
        <v>0</v>
      </c>
      <c r="I132" s="2">
        <v>9.2413456724660392E-3</v>
      </c>
      <c r="J132" s="2">
        <v>1.02681618582955E-2</v>
      </c>
      <c r="K132" s="2">
        <v>15.54</v>
      </c>
      <c r="L132" s="2">
        <v>22.2</v>
      </c>
      <c r="M132" s="2">
        <v>0</v>
      </c>
      <c r="N132" s="2">
        <v>2</v>
      </c>
      <c r="O132" s="2">
        <v>1199</v>
      </c>
      <c r="P132" s="2">
        <v>-555</v>
      </c>
      <c r="Q132" s="2">
        <v>697</v>
      </c>
      <c r="R132" s="2">
        <v>752</v>
      </c>
      <c r="S132" s="2">
        <v>2065</v>
      </c>
      <c r="T132" s="2">
        <f t="shared" si="10"/>
        <v>901.67878098235201</v>
      </c>
      <c r="U132" s="2">
        <f t="shared" si="11"/>
        <v>306.05622664390012</v>
      </c>
      <c r="V132" s="2">
        <f t="shared" si="12"/>
        <v>133.98082572382796</v>
      </c>
      <c r="W132" s="2">
        <f t="shared" si="13"/>
        <v>1341.7158333500802</v>
      </c>
      <c r="X132" s="2">
        <v>-6.3869999999999996</v>
      </c>
      <c r="Y132" s="2">
        <f t="shared" si="14"/>
        <v>4855.7158333500802</v>
      </c>
      <c r="Z132" s="2">
        <f t="shared" si="15"/>
        <v>14086.098</v>
      </c>
      <c r="AA132">
        <f t="shared" si="16"/>
        <v>4159.4040000000005</v>
      </c>
      <c r="AB132">
        <f t="shared" si="17"/>
        <v>3283.2000000000003</v>
      </c>
    </row>
    <row r="133" spans="1:28" x14ac:dyDescent="0.25">
      <c r="A133" s="2">
        <v>8764</v>
      </c>
      <c r="B133" s="2">
        <v>10.517139037166499</v>
      </c>
      <c r="C133" s="2">
        <v>14.75</v>
      </c>
      <c r="D133" s="2">
        <f t="shared" si="9"/>
        <v>35.25</v>
      </c>
      <c r="E133" s="2">
        <v>3.21</v>
      </c>
      <c r="F133" s="2">
        <v>14.37</v>
      </c>
      <c r="G133" s="2">
        <v>0</v>
      </c>
      <c r="H133" s="2">
        <v>0</v>
      </c>
      <c r="I133" s="2">
        <v>0</v>
      </c>
      <c r="J133" s="2">
        <v>0</v>
      </c>
      <c r="K133" s="2">
        <v>15.5328609628334</v>
      </c>
      <c r="L133" s="2">
        <v>22.189801375476399</v>
      </c>
      <c r="M133" s="2">
        <v>0</v>
      </c>
      <c r="N133" s="2">
        <v>0</v>
      </c>
      <c r="O133" s="2">
        <v>1198</v>
      </c>
      <c r="P133" s="2">
        <v>-546</v>
      </c>
      <c r="Q133" s="2">
        <v>704</v>
      </c>
      <c r="R133" s="2">
        <v>749</v>
      </c>
      <c r="S133" s="2">
        <v>2065</v>
      </c>
      <c r="T133" s="2">
        <f t="shared" si="10"/>
        <v>874.94162424607794</v>
      </c>
      <c r="U133" s="2">
        <f t="shared" si="11"/>
        <v>306.65282747556466</v>
      </c>
      <c r="V133" s="2">
        <f t="shared" si="12"/>
        <v>134.24199692406933</v>
      </c>
      <c r="W133" s="2">
        <f t="shared" si="13"/>
        <v>1315.8364486457119</v>
      </c>
      <c r="X133" s="2">
        <v>-6.2869999999999999</v>
      </c>
      <c r="Y133" s="2">
        <f t="shared" si="14"/>
        <v>4833.8364486457122</v>
      </c>
      <c r="Z133" s="2">
        <f t="shared" si="15"/>
        <v>13668.408000000001</v>
      </c>
      <c r="AA133">
        <f t="shared" si="16"/>
        <v>4167.5120000000006</v>
      </c>
      <c r="AB133">
        <f t="shared" si="17"/>
        <v>3289.6000000000004</v>
      </c>
    </row>
    <row r="134" spans="1:28" x14ac:dyDescent="0.25">
      <c r="A134" s="2">
        <v>8747</v>
      </c>
      <c r="B134" s="2">
        <v>10.5469127283398</v>
      </c>
      <c r="C134" s="2">
        <v>14.72</v>
      </c>
      <c r="D134" s="2">
        <f t="shared" ref="D134:D191" si="18">C134+20.5</f>
        <v>35.22</v>
      </c>
      <c r="E134" s="2">
        <v>3.22</v>
      </c>
      <c r="F134" s="2">
        <v>14.34</v>
      </c>
      <c r="G134" s="2">
        <v>0</v>
      </c>
      <c r="H134" s="2">
        <v>0</v>
      </c>
      <c r="I134" s="2">
        <v>0</v>
      </c>
      <c r="J134" s="2">
        <v>0</v>
      </c>
      <c r="K134" s="2">
        <v>15.5030872716601</v>
      </c>
      <c r="L134" s="2">
        <v>22.147267530943001</v>
      </c>
      <c r="M134" s="2">
        <v>0</v>
      </c>
      <c r="N134" s="2">
        <v>0</v>
      </c>
      <c r="O134" s="2">
        <v>1196</v>
      </c>
      <c r="P134" s="2">
        <v>-544</v>
      </c>
      <c r="Q134" s="2">
        <v>703</v>
      </c>
      <c r="R134" s="2">
        <v>748</v>
      </c>
      <c r="S134" s="2">
        <v>2066</v>
      </c>
      <c r="T134" s="2">
        <f t="shared" ref="T134:T191" si="19">((A134-5328)*$AJ$4*$AI$4/100)/(1-(1+$AI$4/100)^-$AF$4)</f>
        <v>870.61275125068107</v>
      </c>
      <c r="U134" s="2">
        <f t="shared" ref="U134:U191" si="20">(ROUND(0.000312745*B134*10^6/3.2, 0)*$AL$4*$AI$4/100)/(1-(1+$AI$4/100)^-$AG$4)</f>
        <v>307.54772872306137</v>
      </c>
      <c r="V134" s="2">
        <f t="shared" ref="V134:V191" si="21">(ROUND(0.000312745*B134*10^6/3.2, 0)*$AN$4*$AI$4/100)/(1-(1+$AI$4/100)^-$AH$4)</f>
        <v>134.63375372443141</v>
      </c>
      <c r="W134" s="2">
        <f t="shared" ref="W134:W191" si="22">T134+U134+V134</f>
        <v>1312.7942336981739</v>
      </c>
      <c r="X134" s="2">
        <v>-6.266</v>
      </c>
      <c r="Y134" s="2">
        <f t="shared" ref="Y134:Y191" si="23">Q134+R134+S134+W134</f>
        <v>4829.7942336981741</v>
      </c>
      <c r="Z134" s="2">
        <f t="shared" ref="Z134:Z191" si="24">(A134-5328)*$AJ$4</f>
        <v>13600.782000000001</v>
      </c>
      <c r="AA134">
        <f t="shared" ref="AA134:AA191" si="25">ROUND(0.000312745*B134*10^6/3.2, 0)*$AL$4</f>
        <v>4179.674</v>
      </c>
      <c r="AB134">
        <f t="shared" ref="AB134:AB191" si="26">ROUND(0.000312745*B134*10^6/3.2, 0)*$AN$4</f>
        <v>3299.2000000000003</v>
      </c>
    </row>
    <row r="135" spans="1:28" x14ac:dyDescent="0.25">
      <c r="A135" s="2">
        <v>8675</v>
      </c>
      <c r="B135" s="2">
        <v>10.536697926116901</v>
      </c>
      <c r="C135" s="2">
        <v>14.6</v>
      </c>
      <c r="D135" s="2">
        <f t="shared" si="18"/>
        <v>35.1</v>
      </c>
      <c r="E135" s="2">
        <v>3.23</v>
      </c>
      <c r="F135" s="2">
        <v>14.24</v>
      </c>
      <c r="G135" s="2">
        <v>0</v>
      </c>
      <c r="H135" s="2">
        <v>0</v>
      </c>
      <c r="I135" s="2">
        <v>0</v>
      </c>
      <c r="J135" s="2">
        <v>0</v>
      </c>
      <c r="K135" s="2">
        <v>15.513302073883001</v>
      </c>
      <c r="L135" s="2">
        <v>22.161860105547198</v>
      </c>
      <c r="M135" s="2">
        <v>0</v>
      </c>
      <c r="N135" s="2">
        <v>0</v>
      </c>
      <c r="O135" s="2">
        <v>1197</v>
      </c>
      <c r="P135" s="2">
        <v>-538</v>
      </c>
      <c r="Q135" s="2">
        <v>710</v>
      </c>
      <c r="R135" s="2">
        <v>747</v>
      </c>
      <c r="S135" s="2">
        <v>2065</v>
      </c>
      <c r="T135" s="2">
        <f t="shared" si="19"/>
        <v>852.27870091723594</v>
      </c>
      <c r="U135" s="2">
        <f t="shared" si="20"/>
        <v>307.2494283072291</v>
      </c>
      <c r="V135" s="2">
        <f t="shared" si="21"/>
        <v>134.50316812431072</v>
      </c>
      <c r="W135" s="2">
        <f t="shared" si="22"/>
        <v>1294.0312973487758</v>
      </c>
      <c r="X135" s="2">
        <v>-6.1989999999999998</v>
      </c>
      <c r="Y135" s="2">
        <f t="shared" si="23"/>
        <v>4816.0312973487762</v>
      </c>
      <c r="Z135" s="2">
        <f t="shared" si="24"/>
        <v>13314.366</v>
      </c>
      <c r="AA135">
        <f t="shared" si="25"/>
        <v>4175.62</v>
      </c>
      <c r="AB135">
        <f t="shared" si="26"/>
        <v>3296</v>
      </c>
    </row>
    <row r="136" spans="1:28" x14ac:dyDescent="0.25">
      <c r="A136" s="2">
        <v>8652</v>
      </c>
      <c r="B136" s="2">
        <v>10.5406680793117</v>
      </c>
      <c r="C136" s="2">
        <v>14.56</v>
      </c>
      <c r="D136" s="2">
        <f t="shared" si="18"/>
        <v>35.06</v>
      </c>
      <c r="E136" s="2">
        <v>3.24</v>
      </c>
      <c r="F136" s="2">
        <v>14.21</v>
      </c>
      <c r="G136" s="2">
        <v>0</v>
      </c>
      <c r="H136" s="2">
        <v>0</v>
      </c>
      <c r="I136" s="2">
        <v>0</v>
      </c>
      <c r="J136" s="2">
        <v>0</v>
      </c>
      <c r="K136" s="2">
        <v>15.509331920688201</v>
      </c>
      <c r="L136" s="2">
        <v>22.156188458126</v>
      </c>
      <c r="M136" s="2">
        <v>0</v>
      </c>
      <c r="N136" s="2">
        <v>0</v>
      </c>
      <c r="O136" s="2">
        <v>1196</v>
      </c>
      <c r="P136" s="2">
        <v>-536</v>
      </c>
      <c r="Q136" s="2">
        <v>712</v>
      </c>
      <c r="R136" s="2">
        <v>746</v>
      </c>
      <c r="S136" s="2">
        <v>2065</v>
      </c>
      <c r="T136" s="2">
        <f t="shared" si="19"/>
        <v>846.42199039405205</v>
      </c>
      <c r="U136" s="2">
        <f t="shared" si="20"/>
        <v>307.2494283072291</v>
      </c>
      <c r="V136" s="2">
        <f t="shared" si="21"/>
        <v>134.50316812431072</v>
      </c>
      <c r="W136" s="2">
        <f t="shared" si="22"/>
        <v>1288.1745868255921</v>
      </c>
      <c r="X136" s="2">
        <v>-6.1769999999999996</v>
      </c>
      <c r="Y136" s="2">
        <f t="shared" si="23"/>
        <v>4811.1745868255921</v>
      </c>
      <c r="Z136" s="2">
        <f t="shared" si="24"/>
        <v>13222.872000000001</v>
      </c>
      <c r="AA136">
        <f t="shared" si="25"/>
        <v>4175.62</v>
      </c>
      <c r="AB136">
        <f t="shared" si="26"/>
        <v>3296</v>
      </c>
    </row>
    <row r="137" spans="1:28" x14ac:dyDescent="0.25">
      <c r="A137" s="2">
        <v>8652</v>
      </c>
      <c r="B137" s="2">
        <v>10.5406680793117</v>
      </c>
      <c r="C137" s="2">
        <v>14.56</v>
      </c>
      <c r="D137" s="2">
        <f t="shared" si="18"/>
        <v>35.06</v>
      </c>
      <c r="E137" s="2">
        <v>3.24</v>
      </c>
      <c r="F137" s="2">
        <v>14.21</v>
      </c>
      <c r="G137" s="2">
        <v>0</v>
      </c>
      <c r="H137" s="2">
        <v>0</v>
      </c>
      <c r="I137" s="2">
        <v>0</v>
      </c>
      <c r="J137" s="2">
        <v>0</v>
      </c>
      <c r="K137" s="2">
        <v>15.509331920688201</v>
      </c>
      <c r="L137" s="2">
        <v>22.156188458126</v>
      </c>
      <c r="M137" s="2">
        <v>0</v>
      </c>
      <c r="N137" s="2">
        <v>0</v>
      </c>
      <c r="O137" s="2">
        <v>1196</v>
      </c>
      <c r="P137" s="2">
        <v>-536</v>
      </c>
      <c r="Q137" s="2">
        <v>712</v>
      </c>
      <c r="R137" s="2">
        <v>746</v>
      </c>
      <c r="S137" s="2">
        <v>2065</v>
      </c>
      <c r="T137" s="2">
        <f t="shared" si="19"/>
        <v>846.42199039405205</v>
      </c>
      <c r="U137" s="2">
        <f t="shared" si="20"/>
        <v>307.2494283072291</v>
      </c>
      <c r="V137" s="2">
        <f t="shared" si="21"/>
        <v>134.50316812431072</v>
      </c>
      <c r="W137" s="2">
        <f t="shared" si="22"/>
        <v>1288.1745868255921</v>
      </c>
      <c r="X137" s="2">
        <v>-6.1769999999999996</v>
      </c>
      <c r="Y137" s="2">
        <f t="shared" si="23"/>
        <v>4811.1745868255921</v>
      </c>
      <c r="Z137" s="2">
        <f t="shared" si="24"/>
        <v>13222.872000000001</v>
      </c>
      <c r="AA137">
        <f t="shared" si="25"/>
        <v>4175.62</v>
      </c>
      <c r="AB137">
        <f t="shared" si="26"/>
        <v>3296</v>
      </c>
    </row>
    <row r="138" spans="1:28" x14ac:dyDescent="0.25">
      <c r="A138" s="2">
        <v>8555</v>
      </c>
      <c r="B138" s="2">
        <v>10.507273377082599</v>
      </c>
      <c r="C138" s="2">
        <v>14.39</v>
      </c>
      <c r="D138" s="2">
        <f t="shared" si="18"/>
        <v>34.89</v>
      </c>
      <c r="E138" s="2">
        <v>3.26</v>
      </c>
      <c r="F138" s="2">
        <v>14.07</v>
      </c>
      <c r="G138" s="2">
        <v>0</v>
      </c>
      <c r="H138" s="2">
        <v>0</v>
      </c>
      <c r="I138" s="2">
        <v>2.726622917395E-3</v>
      </c>
      <c r="J138" s="2">
        <v>3.0295810193277802E-3</v>
      </c>
      <c r="K138" s="2">
        <v>15.54</v>
      </c>
      <c r="L138" s="2">
        <v>22.2</v>
      </c>
      <c r="M138" s="2">
        <v>0</v>
      </c>
      <c r="N138" s="2">
        <v>1</v>
      </c>
      <c r="O138" s="2">
        <v>1199</v>
      </c>
      <c r="P138" s="2">
        <v>-528</v>
      </c>
      <c r="Q138" s="2">
        <v>723</v>
      </c>
      <c r="R138" s="2">
        <v>744</v>
      </c>
      <c r="S138" s="2">
        <v>2065</v>
      </c>
      <c r="T138" s="2">
        <f t="shared" si="19"/>
        <v>821.72195036149401</v>
      </c>
      <c r="U138" s="2">
        <f t="shared" si="20"/>
        <v>306.35452705973239</v>
      </c>
      <c r="V138" s="2">
        <f t="shared" si="21"/>
        <v>134.11141132394866</v>
      </c>
      <c r="W138" s="2">
        <f t="shared" si="22"/>
        <v>1262.1878887451751</v>
      </c>
      <c r="X138" s="2">
        <v>-6.09</v>
      </c>
      <c r="Y138" s="2">
        <f t="shared" si="23"/>
        <v>4794.1878887451749</v>
      </c>
      <c r="Z138" s="2">
        <f t="shared" si="24"/>
        <v>12837.006000000001</v>
      </c>
      <c r="AA138">
        <f t="shared" si="25"/>
        <v>4163.4580000000005</v>
      </c>
      <c r="AB138">
        <f t="shared" si="26"/>
        <v>3286.4</v>
      </c>
    </row>
    <row r="139" spans="1:28" x14ac:dyDescent="0.25">
      <c r="A139" s="2">
        <v>8520</v>
      </c>
      <c r="B139" s="2">
        <v>10.533199028579499</v>
      </c>
      <c r="C139" s="2">
        <v>14.33</v>
      </c>
      <c r="D139" s="2">
        <f t="shared" si="18"/>
        <v>34.83</v>
      </c>
      <c r="E139" s="2">
        <v>3.27</v>
      </c>
      <c r="F139" s="2">
        <v>14.02</v>
      </c>
      <c r="G139" s="2">
        <v>0</v>
      </c>
      <c r="H139" s="2">
        <v>0</v>
      </c>
      <c r="I139" s="2">
        <v>0</v>
      </c>
      <c r="J139" s="2">
        <v>0</v>
      </c>
      <c r="K139" s="2">
        <v>15.5168009714204</v>
      </c>
      <c r="L139" s="2">
        <v>22.166858530600599</v>
      </c>
      <c r="M139" s="2">
        <v>0</v>
      </c>
      <c r="N139" s="2">
        <v>0</v>
      </c>
      <c r="O139" s="2">
        <v>1197</v>
      </c>
      <c r="P139" s="2">
        <v>-524</v>
      </c>
      <c r="Q139" s="2">
        <v>724</v>
      </c>
      <c r="R139" s="2">
        <v>743</v>
      </c>
      <c r="S139" s="2">
        <v>2065</v>
      </c>
      <c r="T139" s="2">
        <f t="shared" si="19"/>
        <v>812.80956478273583</v>
      </c>
      <c r="U139" s="2">
        <f t="shared" si="20"/>
        <v>306.95112789139688</v>
      </c>
      <c r="V139" s="2">
        <f t="shared" si="21"/>
        <v>134.37258252419002</v>
      </c>
      <c r="W139" s="2">
        <f t="shared" si="22"/>
        <v>1254.1332751983227</v>
      </c>
      <c r="X139" s="2">
        <v>-6.0529999999999999</v>
      </c>
      <c r="Y139" s="2">
        <f t="shared" si="23"/>
        <v>4786.1332751983227</v>
      </c>
      <c r="Z139" s="2">
        <f t="shared" si="24"/>
        <v>12697.776</v>
      </c>
      <c r="AA139">
        <f t="shared" si="25"/>
        <v>4171.5660000000007</v>
      </c>
      <c r="AB139">
        <f t="shared" si="26"/>
        <v>3292.8</v>
      </c>
    </row>
    <row r="140" spans="1:28" x14ac:dyDescent="0.25">
      <c r="A140" s="2">
        <v>8444</v>
      </c>
      <c r="B140" s="2">
        <v>10.512504718711201</v>
      </c>
      <c r="C140" s="2">
        <v>14.21</v>
      </c>
      <c r="D140" s="2">
        <f t="shared" si="18"/>
        <v>34.71</v>
      </c>
      <c r="E140" s="2">
        <v>3.29</v>
      </c>
      <c r="F140" s="2">
        <v>13.91</v>
      </c>
      <c r="G140" s="2">
        <v>0</v>
      </c>
      <c r="H140" s="2">
        <v>0</v>
      </c>
      <c r="I140" s="2">
        <v>0</v>
      </c>
      <c r="J140" s="2">
        <v>0</v>
      </c>
      <c r="K140" s="2">
        <v>15.537495281288701</v>
      </c>
      <c r="L140" s="2">
        <v>22.196421830412401</v>
      </c>
      <c r="M140" s="2">
        <v>0</v>
      </c>
      <c r="N140" s="2">
        <v>0</v>
      </c>
      <c r="O140" s="2">
        <v>1199</v>
      </c>
      <c r="P140" s="2">
        <v>-518</v>
      </c>
      <c r="Q140" s="2">
        <v>732</v>
      </c>
      <c r="R140" s="2">
        <v>741</v>
      </c>
      <c r="S140" s="2">
        <v>2065</v>
      </c>
      <c r="T140" s="2">
        <f t="shared" si="19"/>
        <v>793.45695609743257</v>
      </c>
      <c r="U140" s="2">
        <f t="shared" si="20"/>
        <v>306.35452705973239</v>
      </c>
      <c r="V140" s="2">
        <f t="shared" si="21"/>
        <v>134.11141132394866</v>
      </c>
      <c r="W140" s="2">
        <f t="shared" si="22"/>
        <v>1233.9228944811136</v>
      </c>
      <c r="X140" s="2">
        <v>-5.9850000000000003</v>
      </c>
      <c r="Y140" s="2">
        <f t="shared" si="23"/>
        <v>4771.9228944811139</v>
      </c>
      <c r="Z140" s="2">
        <f t="shared" si="24"/>
        <v>12395.448</v>
      </c>
      <c r="AA140">
        <f t="shared" si="25"/>
        <v>4163.4580000000005</v>
      </c>
      <c r="AB140">
        <f t="shared" si="26"/>
        <v>3286.4</v>
      </c>
    </row>
    <row r="141" spans="1:28" x14ac:dyDescent="0.25">
      <c r="A141" s="2">
        <v>8410</v>
      </c>
      <c r="B141" s="2">
        <v>10.5414708348508</v>
      </c>
      <c r="C141" s="2">
        <v>14.15</v>
      </c>
      <c r="D141" s="2">
        <f t="shared" si="18"/>
        <v>34.65</v>
      </c>
      <c r="E141" s="2">
        <v>3.3</v>
      </c>
      <c r="F141" s="2">
        <v>13.86</v>
      </c>
      <c r="G141" s="2">
        <v>0</v>
      </c>
      <c r="H141" s="2">
        <v>0</v>
      </c>
      <c r="I141" s="2">
        <v>0</v>
      </c>
      <c r="J141" s="2">
        <v>0</v>
      </c>
      <c r="K141" s="2">
        <v>15.508529165149101</v>
      </c>
      <c r="L141" s="2">
        <v>22.1550416644988</v>
      </c>
      <c r="M141" s="2">
        <v>0</v>
      </c>
      <c r="N141" s="2">
        <v>0</v>
      </c>
      <c r="O141" s="2">
        <v>1196</v>
      </c>
      <c r="P141" s="2">
        <v>-514</v>
      </c>
      <c r="Q141" s="2">
        <v>733</v>
      </c>
      <c r="R141" s="2">
        <v>740</v>
      </c>
      <c r="S141" s="2">
        <v>2065</v>
      </c>
      <c r="T141" s="2">
        <f t="shared" si="19"/>
        <v>784.79921010663907</v>
      </c>
      <c r="U141" s="2">
        <f t="shared" si="20"/>
        <v>307.2494283072291</v>
      </c>
      <c r="V141" s="2">
        <f t="shared" si="21"/>
        <v>134.50316812431072</v>
      </c>
      <c r="W141" s="2">
        <f t="shared" si="22"/>
        <v>1226.5518065381789</v>
      </c>
      <c r="X141" s="2">
        <v>-5.9470000000000001</v>
      </c>
      <c r="Y141" s="2">
        <f t="shared" si="23"/>
        <v>4764.5518065381784</v>
      </c>
      <c r="Z141" s="2">
        <f t="shared" si="24"/>
        <v>12260.196</v>
      </c>
      <c r="AA141">
        <f t="shared" si="25"/>
        <v>4175.62</v>
      </c>
      <c r="AB141">
        <f t="shared" si="26"/>
        <v>3296</v>
      </c>
    </row>
    <row r="142" spans="1:28" x14ac:dyDescent="0.25">
      <c r="A142" s="2">
        <v>8310</v>
      </c>
      <c r="B142" s="2">
        <v>10.541471811895001</v>
      </c>
      <c r="C142" s="2">
        <v>13.98</v>
      </c>
      <c r="D142" s="2">
        <f t="shared" si="18"/>
        <v>34.480000000000004</v>
      </c>
      <c r="E142" s="2">
        <v>3.33</v>
      </c>
      <c r="F142" s="2">
        <v>13.72</v>
      </c>
      <c r="G142" s="2">
        <v>0</v>
      </c>
      <c r="H142" s="2">
        <v>0</v>
      </c>
      <c r="I142" s="2">
        <v>0</v>
      </c>
      <c r="J142" s="2">
        <v>0</v>
      </c>
      <c r="K142" s="2">
        <v>15.508528188104901</v>
      </c>
      <c r="L142" s="2">
        <v>22.155040268721301</v>
      </c>
      <c r="M142" s="2">
        <v>0</v>
      </c>
      <c r="N142" s="2">
        <v>0</v>
      </c>
      <c r="O142" s="2">
        <v>1196</v>
      </c>
      <c r="P142" s="2">
        <v>-505</v>
      </c>
      <c r="Q142" s="2">
        <v>742</v>
      </c>
      <c r="R142" s="2">
        <v>737</v>
      </c>
      <c r="S142" s="2">
        <v>2065</v>
      </c>
      <c r="T142" s="2">
        <f t="shared" si="19"/>
        <v>759.33525131018746</v>
      </c>
      <c r="U142" s="2">
        <f t="shared" si="20"/>
        <v>307.2494283072291</v>
      </c>
      <c r="V142" s="2">
        <f t="shared" si="21"/>
        <v>134.50316812431072</v>
      </c>
      <c r="W142" s="2">
        <f t="shared" si="22"/>
        <v>1201.0878477417273</v>
      </c>
      <c r="X142" s="2">
        <v>-5.8529999999999998</v>
      </c>
      <c r="Y142" s="2">
        <f t="shared" si="23"/>
        <v>4745.0878477417273</v>
      </c>
      <c r="Z142" s="2">
        <f t="shared" si="24"/>
        <v>11862.396000000001</v>
      </c>
      <c r="AA142">
        <f t="shared" si="25"/>
        <v>4175.62</v>
      </c>
      <c r="AB142">
        <f t="shared" si="26"/>
        <v>3296</v>
      </c>
    </row>
    <row r="143" spans="1:28" x14ac:dyDescent="0.25">
      <c r="A143" s="2">
        <v>8300</v>
      </c>
      <c r="B143" s="2">
        <v>10.5100001591563</v>
      </c>
      <c r="C143" s="2">
        <v>13.96</v>
      </c>
      <c r="D143" s="2">
        <f t="shared" si="18"/>
        <v>34.46</v>
      </c>
      <c r="E143" s="2">
        <v>3.32</v>
      </c>
      <c r="F143" s="2">
        <v>13.71</v>
      </c>
      <c r="G143" s="2">
        <v>0</v>
      </c>
      <c r="H143" s="2">
        <v>0</v>
      </c>
      <c r="I143" s="2">
        <v>0</v>
      </c>
      <c r="J143" s="2">
        <v>0</v>
      </c>
      <c r="K143" s="2">
        <v>15.539999840843601</v>
      </c>
      <c r="L143" s="2">
        <v>22.199999772633699</v>
      </c>
      <c r="M143" s="2">
        <v>0</v>
      </c>
      <c r="N143" s="2">
        <v>0</v>
      </c>
      <c r="O143" s="2">
        <v>1199</v>
      </c>
      <c r="P143" s="2">
        <v>-505</v>
      </c>
      <c r="Q143" s="2">
        <v>745</v>
      </c>
      <c r="R143" s="2">
        <v>737</v>
      </c>
      <c r="S143" s="2">
        <v>2064</v>
      </c>
      <c r="T143" s="2">
        <f t="shared" si="19"/>
        <v>756.78885543054218</v>
      </c>
      <c r="U143" s="2">
        <f t="shared" si="20"/>
        <v>306.35452705973239</v>
      </c>
      <c r="V143" s="2">
        <f t="shared" si="21"/>
        <v>134.11141132394866</v>
      </c>
      <c r="W143" s="2">
        <f t="shared" si="22"/>
        <v>1197.2547938142234</v>
      </c>
      <c r="X143" s="2">
        <v>-5.8490000000000002</v>
      </c>
      <c r="Y143" s="2">
        <f t="shared" si="23"/>
        <v>4743.2547938142234</v>
      </c>
      <c r="Z143" s="2">
        <f t="shared" si="24"/>
        <v>11822.616</v>
      </c>
      <c r="AA143">
        <f t="shared" si="25"/>
        <v>4163.4580000000005</v>
      </c>
      <c r="AB143">
        <f t="shared" si="26"/>
        <v>3286.4</v>
      </c>
    </row>
    <row r="144" spans="1:28" x14ac:dyDescent="0.25">
      <c r="A144" s="2">
        <v>8172</v>
      </c>
      <c r="B144" s="2">
        <v>10.512224105487901</v>
      </c>
      <c r="C144" s="2">
        <v>13.75</v>
      </c>
      <c r="D144" s="2">
        <f t="shared" si="18"/>
        <v>34.25</v>
      </c>
      <c r="E144" s="2">
        <v>3.36</v>
      </c>
      <c r="F144" s="2">
        <v>13.53</v>
      </c>
      <c r="G144" s="2">
        <v>0</v>
      </c>
      <c r="H144" s="2">
        <v>0</v>
      </c>
      <c r="I144" s="2">
        <v>0</v>
      </c>
      <c r="J144" s="2">
        <v>0</v>
      </c>
      <c r="K144" s="2">
        <v>15.537775894512</v>
      </c>
      <c r="L144" s="2">
        <v>22.196822706445701</v>
      </c>
      <c r="M144" s="2">
        <v>0</v>
      </c>
      <c r="N144" s="2">
        <v>0</v>
      </c>
      <c r="O144" s="2">
        <v>1199</v>
      </c>
      <c r="P144" s="2">
        <v>-493</v>
      </c>
      <c r="Q144" s="2">
        <v>757</v>
      </c>
      <c r="R144" s="2">
        <v>734</v>
      </c>
      <c r="S144" s="2">
        <v>2065</v>
      </c>
      <c r="T144" s="2">
        <f t="shared" si="19"/>
        <v>724.19498817108422</v>
      </c>
      <c r="U144" s="2">
        <f t="shared" si="20"/>
        <v>306.35452705973239</v>
      </c>
      <c r="V144" s="2">
        <f t="shared" si="21"/>
        <v>134.11141132394866</v>
      </c>
      <c r="W144" s="2">
        <f t="shared" si="22"/>
        <v>1164.6609265547654</v>
      </c>
      <c r="X144" s="2">
        <v>-5.7270000000000003</v>
      </c>
      <c r="Y144" s="2">
        <f t="shared" si="23"/>
        <v>4720.660926554765</v>
      </c>
      <c r="Z144" s="2">
        <f t="shared" si="24"/>
        <v>11313.432000000001</v>
      </c>
      <c r="AA144">
        <f t="shared" si="25"/>
        <v>4163.4580000000005</v>
      </c>
      <c r="AB144">
        <f t="shared" si="26"/>
        <v>3286.4</v>
      </c>
    </row>
    <row r="145" spans="1:30" x14ac:dyDescent="0.25">
      <c r="A145" s="2">
        <v>8161</v>
      </c>
      <c r="B145" s="2">
        <v>10.536766204494899</v>
      </c>
      <c r="C145" s="2">
        <v>13.73</v>
      </c>
      <c r="D145" s="2">
        <f t="shared" si="18"/>
        <v>34.230000000000004</v>
      </c>
      <c r="E145" s="2">
        <v>3.37</v>
      </c>
      <c r="F145" s="2">
        <v>13.51</v>
      </c>
      <c r="G145" s="2">
        <v>0</v>
      </c>
      <c r="H145" s="2">
        <v>0</v>
      </c>
      <c r="I145" s="2">
        <v>0</v>
      </c>
      <c r="J145" s="2">
        <v>0</v>
      </c>
      <c r="K145" s="2">
        <v>15.513233795505</v>
      </c>
      <c r="L145" s="2">
        <v>22.161762565007098</v>
      </c>
      <c r="M145" s="2">
        <v>0</v>
      </c>
      <c r="N145" s="2">
        <v>0</v>
      </c>
      <c r="O145" s="2">
        <v>1197</v>
      </c>
      <c r="P145" s="2">
        <v>-492</v>
      </c>
      <c r="Q145" s="2">
        <v>756</v>
      </c>
      <c r="R145" s="2">
        <v>734</v>
      </c>
      <c r="S145" s="2">
        <v>2065</v>
      </c>
      <c r="T145" s="2">
        <f t="shared" si="19"/>
        <v>721.3939527034745</v>
      </c>
      <c r="U145" s="2">
        <f t="shared" si="20"/>
        <v>307.2494283072291</v>
      </c>
      <c r="V145" s="2">
        <f t="shared" si="21"/>
        <v>134.50316812431072</v>
      </c>
      <c r="W145" s="2">
        <f t="shared" si="22"/>
        <v>1163.1465491350145</v>
      </c>
      <c r="X145" s="2">
        <v>-5.7119999999999997</v>
      </c>
      <c r="Y145" s="2">
        <f t="shared" si="23"/>
        <v>4718.1465491350145</v>
      </c>
      <c r="Z145" s="2">
        <f t="shared" si="24"/>
        <v>11269.674000000001</v>
      </c>
      <c r="AA145">
        <f t="shared" si="25"/>
        <v>4175.62</v>
      </c>
      <c r="AB145">
        <f t="shared" si="26"/>
        <v>3296</v>
      </c>
    </row>
    <row r="146" spans="1:30" x14ac:dyDescent="0.25">
      <c r="A146" s="2">
        <v>8075</v>
      </c>
      <c r="B146" s="2">
        <v>10.5135382378219</v>
      </c>
      <c r="C146" s="2">
        <v>13.59</v>
      </c>
      <c r="D146" s="2">
        <f t="shared" si="18"/>
        <v>34.090000000000003</v>
      </c>
      <c r="E146" s="2">
        <v>3.38</v>
      </c>
      <c r="F146" s="2">
        <v>13.39</v>
      </c>
      <c r="G146" s="2">
        <v>0</v>
      </c>
      <c r="H146" s="2">
        <v>0</v>
      </c>
      <c r="I146" s="2">
        <v>0</v>
      </c>
      <c r="J146" s="2">
        <v>0</v>
      </c>
      <c r="K146" s="2">
        <v>15.536461762178</v>
      </c>
      <c r="L146" s="2">
        <v>22.194945374540101</v>
      </c>
      <c r="M146" s="2">
        <v>0</v>
      </c>
      <c r="N146" s="2">
        <v>0</v>
      </c>
      <c r="O146" s="2">
        <v>1199</v>
      </c>
      <c r="P146" s="2">
        <v>-485</v>
      </c>
      <c r="Q146" s="2">
        <v>765</v>
      </c>
      <c r="R146" s="2">
        <v>732</v>
      </c>
      <c r="S146" s="2">
        <v>2065</v>
      </c>
      <c r="T146" s="2">
        <f t="shared" si="19"/>
        <v>699.49494813852607</v>
      </c>
      <c r="U146" s="2">
        <f t="shared" si="20"/>
        <v>306.65282747556466</v>
      </c>
      <c r="V146" s="2">
        <f t="shared" si="21"/>
        <v>134.24199692406933</v>
      </c>
      <c r="W146" s="2">
        <f t="shared" si="22"/>
        <v>1140.3897725381601</v>
      </c>
      <c r="X146" s="2">
        <v>-5.6349999999999998</v>
      </c>
      <c r="Y146" s="2">
        <f t="shared" si="23"/>
        <v>4702.3897725381603</v>
      </c>
      <c r="Z146" s="2">
        <f t="shared" si="24"/>
        <v>10927.566000000001</v>
      </c>
      <c r="AA146">
        <f t="shared" si="25"/>
        <v>4167.5120000000006</v>
      </c>
      <c r="AB146">
        <f t="shared" si="26"/>
        <v>3289.6000000000004</v>
      </c>
    </row>
    <row r="147" spans="1:30" x14ac:dyDescent="0.25">
      <c r="A147" s="2">
        <v>8057</v>
      </c>
      <c r="B147" s="2">
        <v>10.5726238028107</v>
      </c>
      <c r="C147" s="2">
        <v>13.56</v>
      </c>
      <c r="D147" s="2">
        <f t="shared" si="18"/>
        <v>34.06</v>
      </c>
      <c r="E147" s="2">
        <v>3.4</v>
      </c>
      <c r="F147" s="2">
        <v>13.36</v>
      </c>
      <c r="G147" s="2">
        <v>0</v>
      </c>
      <c r="H147" s="2">
        <v>0</v>
      </c>
      <c r="I147" s="2">
        <v>0</v>
      </c>
      <c r="J147" s="2">
        <v>0</v>
      </c>
      <c r="K147" s="2">
        <v>15.4773761971892</v>
      </c>
      <c r="L147" s="2">
        <v>22.110537424556099</v>
      </c>
      <c r="M147" s="2">
        <v>0</v>
      </c>
      <c r="N147" s="2">
        <v>0</v>
      </c>
      <c r="O147" s="2">
        <v>1194</v>
      </c>
      <c r="P147" s="2">
        <v>-482</v>
      </c>
      <c r="Q147" s="2">
        <v>764</v>
      </c>
      <c r="R147" s="2">
        <v>731</v>
      </c>
      <c r="S147" s="2">
        <v>2066</v>
      </c>
      <c r="T147" s="2">
        <f t="shared" si="19"/>
        <v>694.91143555516487</v>
      </c>
      <c r="U147" s="2">
        <f t="shared" si="20"/>
        <v>308.14432955472591</v>
      </c>
      <c r="V147" s="2">
        <f t="shared" si="21"/>
        <v>134.89492492467281</v>
      </c>
      <c r="W147" s="2">
        <f t="shared" si="22"/>
        <v>1137.9506900345636</v>
      </c>
      <c r="X147" s="2">
        <v>-5.6070000000000002</v>
      </c>
      <c r="Y147" s="2">
        <f t="shared" si="23"/>
        <v>4698.9506900345641</v>
      </c>
      <c r="Z147" s="2">
        <f t="shared" si="24"/>
        <v>10855.962000000001</v>
      </c>
      <c r="AA147">
        <f t="shared" si="25"/>
        <v>4187.7820000000002</v>
      </c>
      <c r="AB147">
        <f t="shared" si="26"/>
        <v>3305.6000000000004</v>
      </c>
    </row>
    <row r="148" spans="1:30" x14ac:dyDescent="0.25">
      <c r="A148" s="2">
        <v>7985</v>
      </c>
      <c r="B148" s="2">
        <v>10.5406680793117</v>
      </c>
      <c r="C148" s="2">
        <v>13.43</v>
      </c>
      <c r="D148" s="2">
        <f t="shared" si="18"/>
        <v>33.93</v>
      </c>
      <c r="E148" s="2">
        <v>3.41</v>
      </c>
      <c r="F148" s="2">
        <v>13.26</v>
      </c>
      <c r="G148" s="2">
        <v>0</v>
      </c>
      <c r="H148" s="2">
        <v>0</v>
      </c>
      <c r="I148" s="2">
        <v>0</v>
      </c>
      <c r="J148" s="2">
        <v>0</v>
      </c>
      <c r="K148" s="2">
        <v>15.509331920688201</v>
      </c>
      <c r="L148" s="2">
        <v>22.156188458126</v>
      </c>
      <c r="M148" s="2">
        <v>0</v>
      </c>
      <c r="N148" s="2">
        <v>0</v>
      </c>
      <c r="O148" s="2">
        <v>1196</v>
      </c>
      <c r="P148" s="2">
        <v>-476</v>
      </c>
      <c r="Q148" s="2">
        <v>772</v>
      </c>
      <c r="R148" s="2">
        <v>729</v>
      </c>
      <c r="S148" s="2">
        <v>2065</v>
      </c>
      <c r="T148" s="2">
        <f t="shared" si="19"/>
        <v>676.57738522171962</v>
      </c>
      <c r="U148" s="2">
        <f t="shared" si="20"/>
        <v>307.2494283072291</v>
      </c>
      <c r="V148" s="2">
        <f t="shared" si="21"/>
        <v>134.50316812431072</v>
      </c>
      <c r="W148" s="2">
        <f t="shared" si="22"/>
        <v>1118.3299816532594</v>
      </c>
      <c r="X148" s="2">
        <v>-5.5449999999999999</v>
      </c>
      <c r="Y148" s="2">
        <f t="shared" si="23"/>
        <v>4684.3299816532599</v>
      </c>
      <c r="Z148" s="2">
        <f t="shared" si="24"/>
        <v>10569.546</v>
      </c>
      <c r="AA148">
        <f t="shared" si="25"/>
        <v>4175.62</v>
      </c>
      <c r="AB148">
        <f t="shared" si="26"/>
        <v>3296</v>
      </c>
    </row>
    <row r="149" spans="1:30" x14ac:dyDescent="0.25">
      <c r="A149" s="2">
        <v>7896</v>
      </c>
      <c r="B149" s="2">
        <v>10.533199028579499</v>
      </c>
      <c r="C149" s="2">
        <v>13.28</v>
      </c>
      <c r="D149" s="2">
        <f t="shared" si="18"/>
        <v>33.78</v>
      </c>
      <c r="E149" s="2">
        <v>3.43</v>
      </c>
      <c r="F149" s="2">
        <v>13.13</v>
      </c>
      <c r="G149" s="2">
        <v>0</v>
      </c>
      <c r="H149" s="2">
        <v>0</v>
      </c>
      <c r="I149" s="2">
        <v>0</v>
      </c>
      <c r="J149" s="2">
        <v>0</v>
      </c>
      <c r="K149" s="2">
        <v>15.5168009714204</v>
      </c>
      <c r="L149" s="2">
        <v>22.166858530600599</v>
      </c>
      <c r="M149" s="2">
        <v>0</v>
      </c>
      <c r="N149" s="2">
        <v>0</v>
      </c>
      <c r="O149" s="2">
        <v>1197</v>
      </c>
      <c r="P149" s="2">
        <v>-468</v>
      </c>
      <c r="Q149" s="2">
        <v>781</v>
      </c>
      <c r="R149" s="2">
        <v>727</v>
      </c>
      <c r="S149" s="2">
        <v>2065</v>
      </c>
      <c r="T149" s="2">
        <f t="shared" si="19"/>
        <v>653.91446189287774</v>
      </c>
      <c r="U149" s="2">
        <f t="shared" si="20"/>
        <v>306.95112789139688</v>
      </c>
      <c r="V149" s="2">
        <f t="shared" si="21"/>
        <v>134.37258252419002</v>
      </c>
      <c r="W149" s="2">
        <f t="shared" si="22"/>
        <v>1095.2381723084645</v>
      </c>
      <c r="X149" s="2">
        <v>-5.4619999999999997</v>
      </c>
      <c r="Y149" s="2">
        <f t="shared" si="23"/>
        <v>4668.2381723084645</v>
      </c>
      <c r="Z149" s="2">
        <f t="shared" si="24"/>
        <v>10215.504000000001</v>
      </c>
      <c r="AA149">
        <f t="shared" si="25"/>
        <v>4171.5660000000007</v>
      </c>
      <c r="AB149">
        <f t="shared" si="26"/>
        <v>3292.8</v>
      </c>
    </row>
    <row r="150" spans="1:30" x14ac:dyDescent="0.25">
      <c r="A150" s="2">
        <v>7784</v>
      </c>
      <c r="B150" s="2">
        <v>10.541089023472299</v>
      </c>
      <c r="C150" s="2">
        <v>13.1</v>
      </c>
      <c r="D150" s="2">
        <f t="shared" si="18"/>
        <v>33.6</v>
      </c>
      <c r="E150" s="2">
        <v>3.47</v>
      </c>
      <c r="F150" s="2">
        <v>12.97</v>
      </c>
      <c r="G150" s="2">
        <v>0</v>
      </c>
      <c r="H150" s="2">
        <v>0</v>
      </c>
      <c r="I150" s="2">
        <v>0</v>
      </c>
      <c r="J150" s="2">
        <v>0</v>
      </c>
      <c r="K150" s="2">
        <v>15.5089109765276</v>
      </c>
      <c r="L150" s="2">
        <v>22.1555871093252</v>
      </c>
      <c r="M150" s="2">
        <v>0</v>
      </c>
      <c r="N150" s="2">
        <v>0</v>
      </c>
      <c r="O150" s="2">
        <v>1196</v>
      </c>
      <c r="P150" s="2">
        <v>-457</v>
      </c>
      <c r="Q150" s="2">
        <v>790</v>
      </c>
      <c r="R150" s="2">
        <v>724</v>
      </c>
      <c r="S150" s="2">
        <v>2066</v>
      </c>
      <c r="T150" s="2">
        <f t="shared" si="19"/>
        <v>625.39482804085185</v>
      </c>
      <c r="U150" s="2">
        <f t="shared" si="20"/>
        <v>307.2494283072291</v>
      </c>
      <c r="V150" s="2">
        <f t="shared" si="21"/>
        <v>134.50316812431072</v>
      </c>
      <c r="W150" s="2">
        <f t="shared" si="22"/>
        <v>1067.1474244723918</v>
      </c>
      <c r="X150" s="2">
        <v>-5.3540000000000001</v>
      </c>
      <c r="Y150" s="2">
        <f t="shared" si="23"/>
        <v>4647.1474244723922</v>
      </c>
      <c r="Z150" s="2">
        <f t="shared" si="24"/>
        <v>9769.9680000000008</v>
      </c>
      <c r="AA150">
        <f t="shared" si="25"/>
        <v>4175.62</v>
      </c>
      <c r="AB150">
        <f t="shared" si="26"/>
        <v>3296</v>
      </c>
    </row>
    <row r="151" spans="1:30" x14ac:dyDescent="0.25">
      <c r="A151" s="2">
        <v>7770</v>
      </c>
      <c r="B151" s="2">
        <v>10.5831719271371</v>
      </c>
      <c r="C151" s="2">
        <v>13.07</v>
      </c>
      <c r="D151" s="2">
        <f t="shared" si="18"/>
        <v>33.57</v>
      </c>
      <c r="E151" s="2">
        <v>3.48</v>
      </c>
      <c r="F151" s="2">
        <v>12.95</v>
      </c>
      <c r="G151" s="2">
        <v>0</v>
      </c>
      <c r="H151" s="2">
        <v>0</v>
      </c>
      <c r="I151" s="2">
        <v>0</v>
      </c>
      <c r="J151" s="2">
        <v>0</v>
      </c>
      <c r="K151" s="2">
        <v>15.4668280728628</v>
      </c>
      <c r="L151" s="2">
        <v>22.095468675518301</v>
      </c>
      <c r="M151" s="2">
        <v>0</v>
      </c>
      <c r="N151" s="2">
        <v>0</v>
      </c>
      <c r="O151" s="2">
        <v>1193</v>
      </c>
      <c r="P151" s="2">
        <v>-455</v>
      </c>
      <c r="Q151" s="2">
        <v>789</v>
      </c>
      <c r="R151" s="2">
        <v>724</v>
      </c>
      <c r="S151" s="2">
        <v>2066</v>
      </c>
      <c r="T151" s="2">
        <f t="shared" si="19"/>
        <v>621.82987380934867</v>
      </c>
      <c r="U151" s="2">
        <f t="shared" si="20"/>
        <v>308.44262997055813</v>
      </c>
      <c r="V151" s="2">
        <f t="shared" si="21"/>
        <v>135.02551052479348</v>
      </c>
      <c r="W151" s="2">
        <f t="shared" si="22"/>
        <v>1065.2980143047002</v>
      </c>
      <c r="X151" s="2">
        <v>-5.3339999999999996</v>
      </c>
      <c r="Y151" s="2">
        <f t="shared" si="23"/>
        <v>4644.2980143047007</v>
      </c>
      <c r="Z151" s="2">
        <f t="shared" si="24"/>
        <v>9714.2759999999998</v>
      </c>
      <c r="AA151">
        <f t="shared" si="25"/>
        <v>4191.8360000000002</v>
      </c>
      <c r="AB151">
        <f t="shared" si="26"/>
        <v>3308.8</v>
      </c>
    </row>
    <row r="152" spans="1:30" x14ac:dyDescent="0.25">
      <c r="A152" s="2">
        <v>7708</v>
      </c>
      <c r="B152" s="2">
        <v>10.536766204494899</v>
      </c>
      <c r="C152" s="2">
        <v>12.97</v>
      </c>
      <c r="D152" s="2">
        <f t="shared" si="18"/>
        <v>33.47</v>
      </c>
      <c r="E152" s="2">
        <v>3.49</v>
      </c>
      <c r="F152" s="2">
        <v>12.87</v>
      </c>
      <c r="G152" s="2">
        <v>0</v>
      </c>
      <c r="H152" s="2">
        <v>0</v>
      </c>
      <c r="I152" s="2">
        <v>0</v>
      </c>
      <c r="J152" s="2">
        <v>0</v>
      </c>
      <c r="K152" s="2">
        <v>15.513233795505</v>
      </c>
      <c r="L152" s="2">
        <v>22.161762565007098</v>
      </c>
      <c r="M152" s="2">
        <v>0</v>
      </c>
      <c r="N152" s="2">
        <v>0</v>
      </c>
      <c r="O152" s="2">
        <v>1197</v>
      </c>
      <c r="P152" s="2">
        <v>-450</v>
      </c>
      <c r="Q152" s="2">
        <v>798</v>
      </c>
      <c r="R152" s="2">
        <v>722</v>
      </c>
      <c r="S152" s="2">
        <v>2065</v>
      </c>
      <c r="T152" s="2">
        <f t="shared" si="19"/>
        <v>606.0422193555487</v>
      </c>
      <c r="U152" s="2">
        <f t="shared" si="20"/>
        <v>307.2494283072291</v>
      </c>
      <c r="V152" s="2">
        <f t="shared" si="21"/>
        <v>134.50316812431072</v>
      </c>
      <c r="W152" s="2">
        <f t="shared" si="22"/>
        <v>1047.7948157870885</v>
      </c>
      <c r="X152" s="2">
        <v>-5.2830000000000004</v>
      </c>
      <c r="Y152" s="2">
        <f t="shared" si="23"/>
        <v>4632.7948157870887</v>
      </c>
      <c r="Z152" s="2">
        <f t="shared" si="24"/>
        <v>9467.6400000000012</v>
      </c>
      <c r="AA152">
        <f t="shared" si="25"/>
        <v>4175.62</v>
      </c>
      <c r="AB152">
        <f t="shared" si="26"/>
        <v>3296</v>
      </c>
    </row>
    <row r="153" spans="1:30" x14ac:dyDescent="0.25">
      <c r="A153" s="2">
        <v>7658</v>
      </c>
      <c r="B153" s="2">
        <v>10.5100001591563</v>
      </c>
      <c r="C153" s="2">
        <v>12.88</v>
      </c>
      <c r="D153" s="2">
        <f t="shared" si="18"/>
        <v>33.380000000000003</v>
      </c>
      <c r="E153" s="2">
        <v>3.49</v>
      </c>
      <c r="F153" s="2">
        <v>12.8</v>
      </c>
      <c r="G153" s="2">
        <v>0</v>
      </c>
      <c r="H153" s="2">
        <v>0</v>
      </c>
      <c r="I153" s="2">
        <v>0</v>
      </c>
      <c r="J153" s="2">
        <v>0</v>
      </c>
      <c r="K153" s="2">
        <v>15.539999840843601</v>
      </c>
      <c r="L153" s="2">
        <v>22.199999772633699</v>
      </c>
      <c r="M153" s="2">
        <v>0</v>
      </c>
      <c r="N153" s="2">
        <v>0</v>
      </c>
      <c r="O153" s="2">
        <v>1199</v>
      </c>
      <c r="P153" s="2">
        <v>-446</v>
      </c>
      <c r="Q153" s="2">
        <v>804</v>
      </c>
      <c r="R153" s="2">
        <v>721</v>
      </c>
      <c r="S153" s="2">
        <v>2064</v>
      </c>
      <c r="T153" s="2">
        <f t="shared" si="19"/>
        <v>593.31023995732278</v>
      </c>
      <c r="U153" s="2">
        <f t="shared" si="20"/>
        <v>306.35452705973239</v>
      </c>
      <c r="V153" s="2">
        <f t="shared" si="21"/>
        <v>134.11141132394866</v>
      </c>
      <c r="W153" s="2">
        <f t="shared" si="22"/>
        <v>1033.7761783410037</v>
      </c>
      <c r="X153" s="2">
        <v>-5.24</v>
      </c>
      <c r="Y153" s="2">
        <f t="shared" si="23"/>
        <v>4622.7761783410042</v>
      </c>
      <c r="Z153" s="2">
        <f t="shared" si="24"/>
        <v>9268.74</v>
      </c>
      <c r="AA153">
        <f t="shared" si="25"/>
        <v>4163.4580000000005</v>
      </c>
      <c r="AB153">
        <f t="shared" si="26"/>
        <v>3286.4</v>
      </c>
    </row>
    <row r="154" spans="1:30" x14ac:dyDescent="0.25">
      <c r="A154" s="2">
        <v>7623</v>
      </c>
      <c r="B154" s="2">
        <v>10.5100001591563</v>
      </c>
      <c r="C154" s="2">
        <v>12.83</v>
      </c>
      <c r="D154" s="2">
        <f t="shared" si="18"/>
        <v>33.33</v>
      </c>
      <c r="E154" s="2">
        <v>3.5</v>
      </c>
      <c r="F154" s="2">
        <v>12.75</v>
      </c>
      <c r="G154" s="2">
        <v>0</v>
      </c>
      <c r="H154" s="2">
        <v>0</v>
      </c>
      <c r="I154" s="2">
        <v>0</v>
      </c>
      <c r="J154" s="2">
        <v>0</v>
      </c>
      <c r="K154" s="2">
        <v>15.539999840843601</v>
      </c>
      <c r="L154" s="2">
        <v>22.199999772633699</v>
      </c>
      <c r="M154" s="2">
        <v>0</v>
      </c>
      <c r="N154" s="2">
        <v>0</v>
      </c>
      <c r="O154" s="2">
        <v>1199</v>
      </c>
      <c r="P154" s="2">
        <v>-443</v>
      </c>
      <c r="Q154" s="2">
        <v>807</v>
      </c>
      <c r="R154" s="2">
        <v>720</v>
      </c>
      <c r="S154" s="2">
        <v>2065</v>
      </c>
      <c r="T154" s="2">
        <f t="shared" si="19"/>
        <v>584.39785437856483</v>
      </c>
      <c r="U154" s="2">
        <f t="shared" si="20"/>
        <v>306.35452705973239</v>
      </c>
      <c r="V154" s="2">
        <f t="shared" si="21"/>
        <v>134.11141132394866</v>
      </c>
      <c r="W154" s="2">
        <f t="shared" si="22"/>
        <v>1024.8637927622458</v>
      </c>
      <c r="X154" s="2">
        <v>-5.2069999999999999</v>
      </c>
      <c r="Y154" s="2">
        <f t="shared" si="23"/>
        <v>4616.8637927622458</v>
      </c>
      <c r="Z154" s="2">
        <f t="shared" si="24"/>
        <v>9129.51</v>
      </c>
      <c r="AA154">
        <f t="shared" si="25"/>
        <v>4163.4580000000005</v>
      </c>
      <c r="AB154">
        <f t="shared" si="26"/>
        <v>3286.4</v>
      </c>
    </row>
    <row r="155" spans="1:30" x14ac:dyDescent="0.25">
      <c r="A155" s="2">
        <v>7600</v>
      </c>
      <c r="B155" s="2">
        <v>10.496000638255</v>
      </c>
      <c r="C155" s="2">
        <v>12.79</v>
      </c>
      <c r="D155" s="2">
        <f t="shared" si="18"/>
        <v>33.29</v>
      </c>
      <c r="E155" s="2">
        <v>3.51</v>
      </c>
      <c r="F155" s="2">
        <v>12.72</v>
      </c>
      <c r="G155" s="2">
        <v>0</v>
      </c>
      <c r="H155" s="2">
        <v>0</v>
      </c>
      <c r="I155" s="2">
        <v>1.39993617449789E-2</v>
      </c>
      <c r="J155" s="2">
        <v>1.55548463833099E-2</v>
      </c>
      <c r="K155" s="2">
        <v>15.54</v>
      </c>
      <c r="L155" s="2">
        <v>22.2</v>
      </c>
      <c r="M155" s="2">
        <v>0</v>
      </c>
      <c r="N155" s="2">
        <v>4</v>
      </c>
      <c r="O155" s="2">
        <v>1199</v>
      </c>
      <c r="P155" s="2">
        <v>-441</v>
      </c>
      <c r="Q155" s="2">
        <v>813</v>
      </c>
      <c r="R155" s="2">
        <v>720</v>
      </c>
      <c r="S155" s="2">
        <v>2065</v>
      </c>
      <c r="T155" s="2">
        <f t="shared" si="19"/>
        <v>578.54114385538082</v>
      </c>
      <c r="U155" s="2">
        <f t="shared" si="20"/>
        <v>306.05622664390012</v>
      </c>
      <c r="V155" s="2">
        <f t="shared" si="21"/>
        <v>133.98082572382796</v>
      </c>
      <c r="W155" s="2">
        <f t="shared" si="22"/>
        <v>1018.5781962231089</v>
      </c>
      <c r="X155" s="2">
        <v>-5.1849999999999996</v>
      </c>
      <c r="Y155" s="2">
        <f t="shared" si="23"/>
        <v>4616.5781962231085</v>
      </c>
      <c r="Z155" s="2">
        <f t="shared" si="24"/>
        <v>9038.0159999999996</v>
      </c>
      <c r="AA155">
        <f t="shared" si="25"/>
        <v>4159.4040000000005</v>
      </c>
      <c r="AB155">
        <f t="shared" si="26"/>
        <v>3283.2000000000003</v>
      </c>
    </row>
    <row r="156" spans="1:30" x14ac:dyDescent="0.25">
      <c r="A156" s="2">
        <v>7519</v>
      </c>
      <c r="B156" s="2">
        <v>10.5107527349895</v>
      </c>
      <c r="C156" s="2">
        <v>12.65</v>
      </c>
      <c r="D156" s="2">
        <f t="shared" si="18"/>
        <v>33.15</v>
      </c>
      <c r="E156" s="2">
        <v>3.53</v>
      </c>
      <c r="F156" s="2">
        <v>12.6</v>
      </c>
      <c r="G156" s="2">
        <v>0</v>
      </c>
      <c r="H156" s="2">
        <v>0</v>
      </c>
      <c r="I156" s="2">
        <v>0</v>
      </c>
      <c r="J156" s="2">
        <v>0</v>
      </c>
      <c r="K156" s="2">
        <v>15.539247265010401</v>
      </c>
      <c r="L156" s="2">
        <v>22.198924664300598</v>
      </c>
      <c r="M156" s="2">
        <v>0</v>
      </c>
      <c r="N156" s="2">
        <v>0</v>
      </c>
      <c r="O156" s="2">
        <v>1199</v>
      </c>
      <c r="P156" s="2">
        <v>-433</v>
      </c>
      <c r="Q156" s="2">
        <v>817</v>
      </c>
      <c r="R156" s="2">
        <v>718</v>
      </c>
      <c r="S156" s="2">
        <v>2065</v>
      </c>
      <c r="T156" s="2">
        <f t="shared" si="19"/>
        <v>557.91533723025509</v>
      </c>
      <c r="U156" s="2">
        <f t="shared" si="20"/>
        <v>306.35452705973239</v>
      </c>
      <c r="V156" s="2">
        <f t="shared" si="21"/>
        <v>134.11141132394866</v>
      </c>
      <c r="W156" s="2">
        <f t="shared" si="22"/>
        <v>998.38127561393617</v>
      </c>
      <c r="X156" s="2">
        <v>-5.1079999999999997</v>
      </c>
      <c r="Y156" s="2">
        <f t="shared" si="23"/>
        <v>4598.3812756139359</v>
      </c>
      <c r="Z156" s="2">
        <f t="shared" si="24"/>
        <v>8715.7980000000007</v>
      </c>
      <c r="AA156">
        <f t="shared" si="25"/>
        <v>4163.4580000000005</v>
      </c>
      <c r="AB156">
        <f t="shared" si="26"/>
        <v>3286.4</v>
      </c>
    </row>
    <row r="157" spans="1:30" x14ac:dyDescent="0.25">
      <c r="A157" s="2">
        <v>7362</v>
      </c>
      <c r="B157" s="2">
        <v>10.512985714586399</v>
      </c>
      <c r="C157" s="2">
        <v>12.39</v>
      </c>
      <c r="D157" s="2">
        <f t="shared" si="18"/>
        <v>32.89</v>
      </c>
      <c r="E157" s="2">
        <v>3.58</v>
      </c>
      <c r="F157" s="2">
        <v>12.38</v>
      </c>
      <c r="G157" s="2">
        <v>0</v>
      </c>
      <c r="H157" s="2">
        <v>0</v>
      </c>
      <c r="I157" s="2">
        <v>0</v>
      </c>
      <c r="J157" s="2">
        <v>0</v>
      </c>
      <c r="K157" s="2">
        <v>15.5370142854135</v>
      </c>
      <c r="L157" s="2">
        <v>22.1957346934479</v>
      </c>
      <c r="M157" s="2">
        <v>0</v>
      </c>
      <c r="N157" s="2">
        <v>0</v>
      </c>
      <c r="O157" s="2">
        <v>1199</v>
      </c>
      <c r="P157" s="2">
        <v>-418</v>
      </c>
      <c r="Q157" s="2">
        <v>832</v>
      </c>
      <c r="R157" s="2">
        <v>714</v>
      </c>
      <c r="S157" s="2">
        <v>2065</v>
      </c>
      <c r="T157" s="2">
        <f t="shared" si="19"/>
        <v>517.93692191982598</v>
      </c>
      <c r="U157" s="2">
        <f t="shared" si="20"/>
        <v>306.35452705973239</v>
      </c>
      <c r="V157" s="2">
        <f t="shared" si="21"/>
        <v>134.11141132394866</v>
      </c>
      <c r="W157" s="2">
        <f t="shared" si="22"/>
        <v>958.40286030350705</v>
      </c>
      <c r="X157" s="2">
        <v>-4.9589999999999996</v>
      </c>
      <c r="Y157" s="2">
        <f t="shared" si="23"/>
        <v>4569.4028603035067</v>
      </c>
      <c r="Z157" s="2">
        <f t="shared" si="24"/>
        <v>8091.2520000000004</v>
      </c>
      <c r="AA157">
        <f t="shared" si="25"/>
        <v>4163.4580000000005</v>
      </c>
      <c r="AB157">
        <f t="shared" si="26"/>
        <v>3286.4</v>
      </c>
      <c r="AC157" s="2"/>
      <c r="AD157" s="2"/>
    </row>
    <row r="158" spans="1:30" x14ac:dyDescent="0.25">
      <c r="A158" s="2">
        <v>7311</v>
      </c>
      <c r="B158" s="2">
        <v>10.510588767566</v>
      </c>
      <c r="C158" s="2">
        <v>12.3</v>
      </c>
      <c r="D158" s="2">
        <f t="shared" si="18"/>
        <v>32.799999999999997</v>
      </c>
      <c r="E158" s="2">
        <v>3.59</v>
      </c>
      <c r="F158" s="2">
        <v>12.31</v>
      </c>
      <c r="G158" s="2">
        <v>0</v>
      </c>
      <c r="H158" s="2">
        <v>0</v>
      </c>
      <c r="I158" s="2">
        <v>0</v>
      </c>
      <c r="J158" s="2">
        <v>0</v>
      </c>
      <c r="K158" s="2">
        <v>15.539411232433901</v>
      </c>
      <c r="L158" s="2">
        <v>22.199158903476999</v>
      </c>
      <c r="M158" s="2">
        <v>0</v>
      </c>
      <c r="N158" s="2">
        <v>0</v>
      </c>
      <c r="O158" s="2">
        <v>1199</v>
      </c>
      <c r="P158" s="2">
        <v>-413</v>
      </c>
      <c r="Q158" s="2">
        <v>837</v>
      </c>
      <c r="R158" s="2">
        <v>712</v>
      </c>
      <c r="S158" s="2">
        <v>2065</v>
      </c>
      <c r="T158" s="2">
        <f t="shared" si="19"/>
        <v>504.95030293363573</v>
      </c>
      <c r="U158" s="2">
        <f t="shared" si="20"/>
        <v>306.35452705973239</v>
      </c>
      <c r="V158" s="2">
        <f t="shared" si="21"/>
        <v>134.11141132394866</v>
      </c>
      <c r="W158" s="2">
        <f t="shared" si="22"/>
        <v>945.4162413173168</v>
      </c>
      <c r="X158" s="2">
        <v>-4.9109999999999996</v>
      </c>
      <c r="Y158" s="2">
        <f t="shared" si="23"/>
        <v>4559.4162413173171</v>
      </c>
      <c r="Z158" s="2">
        <f t="shared" si="24"/>
        <v>7888.3740000000007</v>
      </c>
      <c r="AA158">
        <f t="shared" si="25"/>
        <v>4163.4580000000005</v>
      </c>
      <c r="AB158">
        <f t="shared" si="26"/>
        <v>3286.4</v>
      </c>
    </row>
    <row r="159" spans="1:30" x14ac:dyDescent="0.25">
      <c r="A159" s="2">
        <v>7305</v>
      </c>
      <c r="B159" s="2">
        <v>10.536766204494899</v>
      </c>
      <c r="C159" s="2">
        <v>12.29</v>
      </c>
      <c r="D159" s="2">
        <f t="shared" si="18"/>
        <v>32.79</v>
      </c>
      <c r="E159" s="2">
        <v>3.6</v>
      </c>
      <c r="F159" s="2">
        <v>12.3</v>
      </c>
      <c r="G159" s="2">
        <v>0</v>
      </c>
      <c r="H159" s="2">
        <v>0</v>
      </c>
      <c r="I159" s="2">
        <v>0</v>
      </c>
      <c r="J159" s="2">
        <v>0</v>
      </c>
      <c r="K159" s="2">
        <v>15.513233795505</v>
      </c>
      <c r="L159" s="2">
        <v>22.161762565007098</v>
      </c>
      <c r="M159" s="2">
        <v>0</v>
      </c>
      <c r="N159" s="2">
        <v>0</v>
      </c>
      <c r="O159" s="2">
        <v>1197</v>
      </c>
      <c r="P159" s="2">
        <v>-412</v>
      </c>
      <c r="Q159" s="2">
        <v>836</v>
      </c>
      <c r="R159" s="2">
        <v>712</v>
      </c>
      <c r="S159" s="2">
        <v>2065</v>
      </c>
      <c r="T159" s="2">
        <f t="shared" si="19"/>
        <v>503.42246540584858</v>
      </c>
      <c r="U159" s="2">
        <f t="shared" si="20"/>
        <v>307.2494283072291</v>
      </c>
      <c r="V159" s="2">
        <f t="shared" si="21"/>
        <v>134.50316812431072</v>
      </c>
      <c r="W159" s="2">
        <f t="shared" si="22"/>
        <v>945.1750618373884</v>
      </c>
      <c r="X159" s="2">
        <v>-4.9009999999999998</v>
      </c>
      <c r="Y159" s="2">
        <f t="shared" si="23"/>
        <v>4558.1750618373881</v>
      </c>
      <c r="Z159" s="2">
        <f t="shared" si="24"/>
        <v>7864.5060000000003</v>
      </c>
      <c r="AA159">
        <f t="shared" si="25"/>
        <v>4175.62</v>
      </c>
      <c r="AB159">
        <f t="shared" si="26"/>
        <v>3296</v>
      </c>
    </row>
    <row r="160" spans="1:30" x14ac:dyDescent="0.25">
      <c r="A160" s="2">
        <v>7222</v>
      </c>
      <c r="B160" s="2">
        <v>10.5135382378219</v>
      </c>
      <c r="C160" s="2">
        <v>12.15</v>
      </c>
      <c r="D160" s="2">
        <f t="shared" si="18"/>
        <v>32.65</v>
      </c>
      <c r="E160" s="2">
        <v>3.62</v>
      </c>
      <c r="F160" s="2">
        <v>12.18</v>
      </c>
      <c r="G160" s="2">
        <v>0</v>
      </c>
      <c r="H160" s="2">
        <v>0</v>
      </c>
      <c r="I160" s="2">
        <v>0</v>
      </c>
      <c r="J160" s="2">
        <v>0</v>
      </c>
      <c r="K160" s="2">
        <v>15.536461762178</v>
      </c>
      <c r="L160" s="2">
        <v>22.194945374540101</v>
      </c>
      <c r="M160" s="2">
        <v>0</v>
      </c>
      <c r="N160" s="2">
        <v>0</v>
      </c>
      <c r="O160" s="2">
        <v>1199</v>
      </c>
      <c r="P160" s="2">
        <v>-405</v>
      </c>
      <c r="Q160" s="2">
        <v>845</v>
      </c>
      <c r="R160" s="2">
        <v>710</v>
      </c>
      <c r="S160" s="2">
        <v>2065</v>
      </c>
      <c r="T160" s="2">
        <f t="shared" si="19"/>
        <v>482.28737960479378</v>
      </c>
      <c r="U160" s="2">
        <f t="shared" si="20"/>
        <v>306.65282747556466</v>
      </c>
      <c r="V160" s="2">
        <f t="shared" si="21"/>
        <v>134.24199692406933</v>
      </c>
      <c r="W160" s="2">
        <f t="shared" si="22"/>
        <v>923.18220400442783</v>
      </c>
      <c r="X160" s="2">
        <v>-4.8259999999999996</v>
      </c>
      <c r="Y160" s="2">
        <f t="shared" si="23"/>
        <v>4543.1822040044281</v>
      </c>
      <c r="Z160" s="2">
        <f t="shared" si="24"/>
        <v>7534.3320000000003</v>
      </c>
      <c r="AA160">
        <f t="shared" si="25"/>
        <v>4167.5120000000006</v>
      </c>
      <c r="AB160">
        <f t="shared" si="26"/>
        <v>3289.6000000000004</v>
      </c>
    </row>
    <row r="161" spans="1:28" x14ac:dyDescent="0.25">
      <c r="A161" s="2">
        <v>7202</v>
      </c>
      <c r="B161" s="2">
        <v>10.509867231381699</v>
      </c>
      <c r="C161" s="2">
        <v>12.12</v>
      </c>
      <c r="D161" s="2">
        <f t="shared" si="18"/>
        <v>32.619999999999997</v>
      </c>
      <c r="E161" s="2">
        <v>3.62</v>
      </c>
      <c r="F161" s="2">
        <v>12.16</v>
      </c>
      <c r="G161" s="2">
        <v>0</v>
      </c>
      <c r="H161" s="2">
        <v>0</v>
      </c>
      <c r="I161" s="2">
        <v>1.32768618211542E-4</v>
      </c>
      <c r="J161" s="2">
        <v>1.47520686901714E-4</v>
      </c>
      <c r="K161" s="2">
        <v>15.54</v>
      </c>
      <c r="L161" s="2">
        <v>22.2</v>
      </c>
      <c r="M161" s="2">
        <v>0</v>
      </c>
      <c r="N161" s="2">
        <v>0</v>
      </c>
      <c r="O161" s="2">
        <v>1199</v>
      </c>
      <c r="P161" s="2">
        <v>-403</v>
      </c>
      <c r="Q161" s="2">
        <v>847</v>
      </c>
      <c r="R161" s="2">
        <v>710</v>
      </c>
      <c r="S161" s="2">
        <v>2065</v>
      </c>
      <c r="T161" s="2">
        <f t="shared" si="19"/>
        <v>477.19458784550341</v>
      </c>
      <c r="U161" s="2">
        <f t="shared" si="20"/>
        <v>306.35452705973239</v>
      </c>
      <c r="V161" s="2">
        <f t="shared" si="21"/>
        <v>134.11141132394866</v>
      </c>
      <c r="W161" s="2">
        <f t="shared" si="22"/>
        <v>917.66052622918448</v>
      </c>
      <c r="X161" s="2">
        <v>-4.8079999999999998</v>
      </c>
      <c r="Y161" s="2">
        <f t="shared" si="23"/>
        <v>4539.6605262291841</v>
      </c>
      <c r="Z161" s="2">
        <f t="shared" si="24"/>
        <v>7454.7719999999999</v>
      </c>
      <c r="AA161">
        <f t="shared" si="25"/>
        <v>4163.4580000000005</v>
      </c>
      <c r="AB161">
        <f t="shared" si="26"/>
        <v>3286.4</v>
      </c>
    </row>
    <row r="162" spans="1:28" x14ac:dyDescent="0.25">
      <c r="A162" s="2">
        <v>7127</v>
      </c>
      <c r="B162" s="2">
        <v>10.536766204494899</v>
      </c>
      <c r="C162" s="2">
        <v>11.99</v>
      </c>
      <c r="D162" s="2">
        <f t="shared" si="18"/>
        <v>32.49</v>
      </c>
      <c r="E162" s="2">
        <v>3.65</v>
      </c>
      <c r="F162" s="2">
        <v>12.05</v>
      </c>
      <c r="G162" s="2">
        <v>0</v>
      </c>
      <c r="H162" s="2">
        <v>0</v>
      </c>
      <c r="I162" s="2">
        <v>0</v>
      </c>
      <c r="J162" s="2">
        <v>0</v>
      </c>
      <c r="K162" s="2">
        <v>15.513233795505</v>
      </c>
      <c r="L162" s="2">
        <v>22.161762565007098</v>
      </c>
      <c r="M162" s="2">
        <v>0</v>
      </c>
      <c r="N162" s="2">
        <v>0</v>
      </c>
      <c r="O162" s="2">
        <v>1197</v>
      </c>
      <c r="P162" s="2">
        <v>-395</v>
      </c>
      <c r="Q162" s="2">
        <v>853</v>
      </c>
      <c r="R162" s="2">
        <v>708</v>
      </c>
      <c r="S162" s="2">
        <v>2065</v>
      </c>
      <c r="T162" s="2">
        <f t="shared" si="19"/>
        <v>458.09661874816476</v>
      </c>
      <c r="U162" s="2">
        <f t="shared" si="20"/>
        <v>307.2494283072291</v>
      </c>
      <c r="V162" s="2">
        <f t="shared" si="21"/>
        <v>134.50316812431072</v>
      </c>
      <c r="W162" s="2">
        <f t="shared" si="22"/>
        <v>899.84921517970463</v>
      </c>
      <c r="X162" s="2">
        <v>-4.7320000000000002</v>
      </c>
      <c r="Y162" s="2">
        <f t="shared" si="23"/>
        <v>4525.8492151797045</v>
      </c>
      <c r="Z162" s="2">
        <f t="shared" si="24"/>
        <v>7156.4220000000005</v>
      </c>
      <c r="AA162">
        <f t="shared" si="25"/>
        <v>4175.62</v>
      </c>
      <c r="AB162">
        <f t="shared" si="26"/>
        <v>3296</v>
      </c>
    </row>
    <row r="163" spans="1:28" x14ac:dyDescent="0.25">
      <c r="A163" s="2">
        <v>7108</v>
      </c>
      <c r="B163" s="2">
        <v>10.5135382378219</v>
      </c>
      <c r="C163" s="2">
        <v>11.96</v>
      </c>
      <c r="D163" s="2">
        <f t="shared" si="18"/>
        <v>32.46</v>
      </c>
      <c r="E163" s="2">
        <v>3.65</v>
      </c>
      <c r="F163" s="2">
        <v>12.02</v>
      </c>
      <c r="G163" s="2">
        <v>0</v>
      </c>
      <c r="H163" s="2">
        <v>0</v>
      </c>
      <c r="I163" s="2">
        <v>0</v>
      </c>
      <c r="J163" s="2">
        <v>0</v>
      </c>
      <c r="K163" s="2">
        <v>15.536461762178</v>
      </c>
      <c r="L163" s="2">
        <v>22.194945374540101</v>
      </c>
      <c r="M163" s="2">
        <v>0</v>
      </c>
      <c r="N163" s="2">
        <v>0</v>
      </c>
      <c r="O163" s="2">
        <v>1199</v>
      </c>
      <c r="P163" s="2">
        <v>-394</v>
      </c>
      <c r="Q163" s="2">
        <v>856</v>
      </c>
      <c r="R163" s="2">
        <v>707</v>
      </c>
      <c r="S163" s="2">
        <v>2065</v>
      </c>
      <c r="T163" s="2">
        <f t="shared" si="19"/>
        <v>453.25846657683894</v>
      </c>
      <c r="U163" s="2">
        <f t="shared" si="20"/>
        <v>306.65282747556466</v>
      </c>
      <c r="V163" s="2">
        <f t="shared" si="21"/>
        <v>134.24199692406933</v>
      </c>
      <c r="W163" s="2">
        <f t="shared" si="22"/>
        <v>894.15329097647293</v>
      </c>
      <c r="X163" s="2">
        <v>-4.718</v>
      </c>
      <c r="Y163" s="2">
        <f t="shared" si="23"/>
        <v>4522.1532909764728</v>
      </c>
      <c r="Z163" s="2">
        <f t="shared" si="24"/>
        <v>7080.84</v>
      </c>
      <c r="AA163">
        <f t="shared" si="25"/>
        <v>4167.5120000000006</v>
      </c>
      <c r="AB163">
        <f t="shared" si="26"/>
        <v>3289.6000000000004</v>
      </c>
    </row>
    <row r="164" spans="1:28" x14ac:dyDescent="0.25">
      <c r="A164" s="2">
        <v>7051</v>
      </c>
      <c r="B164" s="2">
        <v>10.5107527349895</v>
      </c>
      <c r="C164" s="2">
        <v>11.86</v>
      </c>
      <c r="D164" s="2">
        <f t="shared" si="18"/>
        <v>32.36</v>
      </c>
      <c r="E164" s="2">
        <v>3.66</v>
      </c>
      <c r="F164" s="2">
        <v>11.94</v>
      </c>
      <c r="G164" s="2">
        <v>0</v>
      </c>
      <c r="H164" s="2">
        <v>0</v>
      </c>
      <c r="I164" s="2">
        <v>0</v>
      </c>
      <c r="J164" s="2">
        <v>0</v>
      </c>
      <c r="K164" s="2">
        <v>15.539247265010401</v>
      </c>
      <c r="L164" s="2">
        <v>22.198924664300598</v>
      </c>
      <c r="M164" s="2">
        <v>0</v>
      </c>
      <c r="N164" s="2">
        <v>0</v>
      </c>
      <c r="O164" s="2">
        <v>1199</v>
      </c>
      <c r="P164" s="2">
        <v>-388</v>
      </c>
      <c r="Q164" s="2">
        <v>862</v>
      </c>
      <c r="R164" s="2">
        <v>706</v>
      </c>
      <c r="S164" s="2">
        <v>2065</v>
      </c>
      <c r="T164" s="2">
        <f t="shared" si="19"/>
        <v>438.74401006286149</v>
      </c>
      <c r="U164" s="2">
        <f t="shared" si="20"/>
        <v>306.35452705973239</v>
      </c>
      <c r="V164" s="2">
        <f t="shared" si="21"/>
        <v>134.11141132394866</v>
      </c>
      <c r="W164" s="2">
        <f t="shared" si="22"/>
        <v>879.20994844654251</v>
      </c>
      <c r="X164" s="2">
        <v>-4.665</v>
      </c>
      <c r="Y164" s="2">
        <f t="shared" si="23"/>
        <v>4512.2099484465425</v>
      </c>
      <c r="Z164" s="2">
        <f t="shared" si="24"/>
        <v>6854.0940000000001</v>
      </c>
      <c r="AA164">
        <f t="shared" si="25"/>
        <v>4163.4580000000005</v>
      </c>
      <c r="AB164">
        <f t="shared" si="26"/>
        <v>3286.4</v>
      </c>
    </row>
    <row r="165" spans="1:28" x14ac:dyDescent="0.25">
      <c r="A165" s="2">
        <v>6986</v>
      </c>
      <c r="B165" s="2">
        <v>10.5416215563028</v>
      </c>
      <c r="C165" s="2">
        <v>11.75</v>
      </c>
      <c r="D165" s="2">
        <f t="shared" si="18"/>
        <v>32.25</v>
      </c>
      <c r="E165" s="2">
        <v>3.69</v>
      </c>
      <c r="F165" s="2">
        <v>11.85</v>
      </c>
      <c r="G165" s="2">
        <v>0</v>
      </c>
      <c r="H165" s="2">
        <v>0</v>
      </c>
      <c r="I165" s="2">
        <v>0</v>
      </c>
      <c r="J165" s="2">
        <v>0</v>
      </c>
      <c r="K165" s="2">
        <v>15.508378443697101</v>
      </c>
      <c r="L165" s="2">
        <v>22.154826348138702</v>
      </c>
      <c r="M165" s="2">
        <v>0</v>
      </c>
      <c r="N165" s="2">
        <v>0</v>
      </c>
      <c r="O165" s="2">
        <v>1196</v>
      </c>
      <c r="P165" s="2">
        <v>-381</v>
      </c>
      <c r="Q165" s="2">
        <v>866</v>
      </c>
      <c r="R165" s="2">
        <v>704</v>
      </c>
      <c r="S165" s="2">
        <v>2065</v>
      </c>
      <c r="T165" s="2">
        <f t="shared" si="19"/>
        <v>422.19243684516795</v>
      </c>
      <c r="U165" s="2">
        <f t="shared" si="20"/>
        <v>307.2494283072291</v>
      </c>
      <c r="V165" s="2">
        <f t="shared" si="21"/>
        <v>134.50316812431072</v>
      </c>
      <c r="W165" s="2">
        <f t="shared" si="22"/>
        <v>863.9450332767077</v>
      </c>
      <c r="X165" s="2">
        <v>-4.5979999999999999</v>
      </c>
      <c r="Y165" s="2">
        <f t="shared" si="23"/>
        <v>4498.9450332767074</v>
      </c>
      <c r="Z165" s="2">
        <f t="shared" si="24"/>
        <v>6595.5240000000003</v>
      </c>
      <c r="AA165">
        <f t="shared" si="25"/>
        <v>4175.62</v>
      </c>
      <c r="AB165">
        <f t="shared" si="26"/>
        <v>3296</v>
      </c>
    </row>
    <row r="166" spans="1:28" x14ac:dyDescent="0.25">
      <c r="A166" s="2">
        <v>6934</v>
      </c>
      <c r="B166" s="2">
        <v>10.509892507939201</v>
      </c>
      <c r="C166" s="2">
        <v>11.67</v>
      </c>
      <c r="D166" s="2">
        <f t="shared" si="18"/>
        <v>32.17</v>
      </c>
      <c r="E166" s="2">
        <v>3.7</v>
      </c>
      <c r="F166" s="2">
        <v>11.78</v>
      </c>
      <c r="G166" s="2">
        <v>0</v>
      </c>
      <c r="H166" s="2">
        <v>0</v>
      </c>
      <c r="I166" s="2">
        <v>1.0749206078131099E-4</v>
      </c>
      <c r="J166" s="2">
        <v>1.19435623090345E-4</v>
      </c>
      <c r="K166" s="2">
        <v>15.54</v>
      </c>
      <c r="L166" s="2">
        <v>22.2</v>
      </c>
      <c r="M166" s="2">
        <v>0</v>
      </c>
      <c r="N166" s="2">
        <v>0</v>
      </c>
      <c r="O166" s="2">
        <v>1199</v>
      </c>
      <c r="P166" s="2">
        <v>-377</v>
      </c>
      <c r="Q166" s="2">
        <v>873</v>
      </c>
      <c r="R166" s="2">
        <v>703</v>
      </c>
      <c r="S166" s="2">
        <v>2065</v>
      </c>
      <c r="T166" s="2">
        <f t="shared" si="19"/>
        <v>408.95117827101313</v>
      </c>
      <c r="U166" s="2">
        <f t="shared" si="20"/>
        <v>306.35452705973239</v>
      </c>
      <c r="V166" s="2">
        <f t="shared" si="21"/>
        <v>134.11141132394866</v>
      </c>
      <c r="W166" s="2">
        <f t="shared" si="22"/>
        <v>849.41711665469415</v>
      </c>
      <c r="X166" s="2">
        <v>-4.5540000000000003</v>
      </c>
      <c r="Y166" s="2">
        <f t="shared" si="23"/>
        <v>4490.4171166546939</v>
      </c>
      <c r="Z166" s="2">
        <f t="shared" si="24"/>
        <v>6388.6680000000006</v>
      </c>
      <c r="AA166">
        <f t="shared" si="25"/>
        <v>4163.4580000000005</v>
      </c>
      <c r="AB166">
        <f t="shared" si="26"/>
        <v>3286.4</v>
      </c>
    </row>
    <row r="167" spans="1:28" x14ac:dyDescent="0.25">
      <c r="A167" s="2">
        <v>6934</v>
      </c>
      <c r="B167" s="2">
        <v>10.509892507939201</v>
      </c>
      <c r="C167" s="2">
        <v>11.67</v>
      </c>
      <c r="D167" s="2">
        <f t="shared" si="18"/>
        <v>32.17</v>
      </c>
      <c r="E167" s="2">
        <v>3.7</v>
      </c>
      <c r="F167" s="2">
        <v>11.78</v>
      </c>
      <c r="G167" s="2">
        <v>0</v>
      </c>
      <c r="H167" s="2">
        <v>0</v>
      </c>
      <c r="I167" s="2">
        <v>1.0749206078131099E-4</v>
      </c>
      <c r="J167" s="2">
        <v>1.19435623090345E-4</v>
      </c>
      <c r="K167" s="2">
        <v>15.54</v>
      </c>
      <c r="L167" s="2">
        <v>22.2</v>
      </c>
      <c r="M167" s="2">
        <v>0</v>
      </c>
      <c r="N167" s="2">
        <v>0</v>
      </c>
      <c r="O167" s="2">
        <v>1199</v>
      </c>
      <c r="P167" s="2">
        <v>-377</v>
      </c>
      <c r="Q167" s="2">
        <v>873</v>
      </c>
      <c r="R167" s="2">
        <v>703</v>
      </c>
      <c r="S167" s="2">
        <v>2065</v>
      </c>
      <c r="T167" s="2">
        <f t="shared" si="19"/>
        <v>408.95117827101313</v>
      </c>
      <c r="U167" s="2">
        <f t="shared" si="20"/>
        <v>306.35452705973239</v>
      </c>
      <c r="V167" s="2">
        <f t="shared" si="21"/>
        <v>134.11141132394866</v>
      </c>
      <c r="W167" s="2">
        <f t="shared" si="22"/>
        <v>849.41711665469415</v>
      </c>
      <c r="X167" s="2">
        <v>-4.5540000000000003</v>
      </c>
      <c r="Y167" s="2">
        <f t="shared" si="23"/>
        <v>4490.4171166546939</v>
      </c>
      <c r="Z167" s="2">
        <f t="shared" si="24"/>
        <v>6388.6680000000006</v>
      </c>
      <c r="AA167">
        <f t="shared" si="25"/>
        <v>4163.4580000000005</v>
      </c>
      <c r="AB167">
        <f t="shared" si="26"/>
        <v>3286.4</v>
      </c>
    </row>
    <row r="168" spans="1:28" x14ac:dyDescent="0.25">
      <c r="A168" s="2">
        <v>6799</v>
      </c>
      <c r="B168" s="2">
        <v>10.5127752395592</v>
      </c>
      <c r="C168" s="2">
        <v>11.44</v>
      </c>
      <c r="D168" s="2">
        <f t="shared" si="18"/>
        <v>31.939999999999998</v>
      </c>
      <c r="E168" s="2">
        <v>3.73</v>
      </c>
      <c r="F168" s="2">
        <v>11.59</v>
      </c>
      <c r="G168" s="2">
        <v>0</v>
      </c>
      <c r="H168" s="2">
        <v>0</v>
      </c>
      <c r="I168" s="2">
        <v>0</v>
      </c>
      <c r="J168" s="2">
        <v>0</v>
      </c>
      <c r="K168" s="2">
        <v>15.537224760440701</v>
      </c>
      <c r="L168" s="2">
        <v>22.196035372058098</v>
      </c>
      <c r="M168" s="2">
        <v>0</v>
      </c>
      <c r="N168" s="2">
        <v>0</v>
      </c>
      <c r="O168" s="2">
        <v>1199</v>
      </c>
      <c r="P168" s="2">
        <v>-364</v>
      </c>
      <c r="Q168" s="2">
        <v>886</v>
      </c>
      <c r="R168" s="2">
        <v>700</v>
      </c>
      <c r="S168" s="2">
        <v>2065</v>
      </c>
      <c r="T168" s="2">
        <f t="shared" si="19"/>
        <v>374.57483389580335</v>
      </c>
      <c r="U168" s="2">
        <f t="shared" si="20"/>
        <v>306.35452705973239</v>
      </c>
      <c r="V168" s="2">
        <f t="shared" si="21"/>
        <v>134.11141132394866</v>
      </c>
      <c r="W168" s="2">
        <f t="shared" si="22"/>
        <v>815.04077227948437</v>
      </c>
      <c r="X168" s="2">
        <v>-4.4260000000000002</v>
      </c>
      <c r="Y168" s="2">
        <f t="shared" si="23"/>
        <v>4466.0407722794844</v>
      </c>
      <c r="Z168" s="2">
        <f t="shared" si="24"/>
        <v>5851.6379999999999</v>
      </c>
      <c r="AA168">
        <f t="shared" si="25"/>
        <v>4163.4580000000005</v>
      </c>
      <c r="AB168">
        <f t="shared" si="26"/>
        <v>3286.4</v>
      </c>
    </row>
    <row r="169" spans="1:28" x14ac:dyDescent="0.25">
      <c r="A169" s="2">
        <v>6646</v>
      </c>
      <c r="B169" s="2">
        <v>10.5005659386193</v>
      </c>
      <c r="C169" s="2">
        <v>11.18</v>
      </c>
      <c r="D169" s="2">
        <f t="shared" si="18"/>
        <v>31.68</v>
      </c>
      <c r="E169" s="2">
        <v>3.78</v>
      </c>
      <c r="F169" s="2">
        <v>11.38</v>
      </c>
      <c r="G169" s="2">
        <v>0</v>
      </c>
      <c r="H169" s="2">
        <v>0</v>
      </c>
      <c r="I169" s="2">
        <v>9.4340613806451704E-3</v>
      </c>
      <c r="J169" s="2">
        <v>1.0482290422939E-2</v>
      </c>
      <c r="K169" s="2">
        <v>15.54</v>
      </c>
      <c r="L169" s="2">
        <v>22.2</v>
      </c>
      <c r="M169" s="2">
        <v>0</v>
      </c>
      <c r="N169" s="2">
        <v>3</v>
      </c>
      <c r="O169" s="2">
        <v>1199</v>
      </c>
      <c r="P169" s="2">
        <v>-349</v>
      </c>
      <c r="Q169" s="2">
        <v>903</v>
      </c>
      <c r="R169" s="2">
        <v>696</v>
      </c>
      <c r="S169" s="2">
        <v>2065</v>
      </c>
      <c r="T169" s="2">
        <f t="shared" si="19"/>
        <v>335.61497693723237</v>
      </c>
      <c r="U169" s="2">
        <f t="shared" si="20"/>
        <v>306.05622664390012</v>
      </c>
      <c r="V169" s="2">
        <f t="shared" si="21"/>
        <v>133.98082572382796</v>
      </c>
      <c r="W169" s="2">
        <f t="shared" si="22"/>
        <v>775.65202930496037</v>
      </c>
      <c r="X169" s="2">
        <v>-4.2809999999999997</v>
      </c>
      <c r="Y169" s="2">
        <f t="shared" si="23"/>
        <v>4439.6520293049607</v>
      </c>
      <c r="Z169" s="2">
        <f t="shared" si="24"/>
        <v>5243.0039999999999</v>
      </c>
      <c r="AA169">
        <f t="shared" si="25"/>
        <v>4159.4040000000005</v>
      </c>
      <c r="AB169">
        <f t="shared" si="26"/>
        <v>3283.2000000000003</v>
      </c>
    </row>
    <row r="170" spans="1:28" x14ac:dyDescent="0.25">
      <c r="A170" s="2">
        <v>6545</v>
      </c>
      <c r="B170" s="2">
        <v>10.512985714586399</v>
      </c>
      <c r="C170" s="2">
        <v>11.01</v>
      </c>
      <c r="D170" s="2">
        <f t="shared" si="18"/>
        <v>31.509999999999998</v>
      </c>
      <c r="E170" s="2">
        <v>3.81</v>
      </c>
      <c r="F170" s="2">
        <v>11.24</v>
      </c>
      <c r="G170" s="2">
        <v>0</v>
      </c>
      <c r="H170" s="2">
        <v>0</v>
      </c>
      <c r="I170" s="2">
        <v>0</v>
      </c>
      <c r="J170" s="2">
        <v>0</v>
      </c>
      <c r="K170" s="2">
        <v>15.5370142854135</v>
      </c>
      <c r="L170" s="2">
        <v>22.1957346934479</v>
      </c>
      <c r="M170" s="2">
        <v>0</v>
      </c>
      <c r="N170" s="2">
        <v>0</v>
      </c>
      <c r="O170" s="2">
        <v>1199</v>
      </c>
      <c r="P170" s="2">
        <v>-339</v>
      </c>
      <c r="Q170" s="2">
        <v>911</v>
      </c>
      <c r="R170" s="2">
        <v>693</v>
      </c>
      <c r="S170" s="2">
        <v>2065</v>
      </c>
      <c r="T170" s="2">
        <f t="shared" si="19"/>
        <v>309.89637855281626</v>
      </c>
      <c r="U170" s="2">
        <f t="shared" si="20"/>
        <v>306.35452705973239</v>
      </c>
      <c r="V170" s="2">
        <f t="shared" si="21"/>
        <v>134.11141132394866</v>
      </c>
      <c r="W170" s="2">
        <f t="shared" si="22"/>
        <v>750.36231693649734</v>
      </c>
      <c r="X170" s="2">
        <v>-4.1849999999999996</v>
      </c>
      <c r="Y170" s="2">
        <f t="shared" si="23"/>
        <v>4419.3623169364973</v>
      </c>
      <c r="Z170" s="2">
        <f t="shared" si="24"/>
        <v>4841.2260000000006</v>
      </c>
      <c r="AA170">
        <f t="shared" si="25"/>
        <v>4163.4580000000005</v>
      </c>
      <c r="AB170">
        <f t="shared" si="26"/>
        <v>3286.4</v>
      </c>
    </row>
    <row r="171" spans="1:28" x14ac:dyDescent="0.25">
      <c r="A171" s="2">
        <v>6545</v>
      </c>
      <c r="B171" s="2">
        <v>10.512985714586399</v>
      </c>
      <c r="C171" s="2">
        <v>11.01</v>
      </c>
      <c r="D171" s="2">
        <f t="shared" si="18"/>
        <v>31.509999999999998</v>
      </c>
      <c r="E171" s="2">
        <v>3.81</v>
      </c>
      <c r="F171" s="2">
        <v>11.24</v>
      </c>
      <c r="G171" s="2">
        <v>0</v>
      </c>
      <c r="H171" s="2">
        <v>0</v>
      </c>
      <c r="I171" s="2">
        <v>0</v>
      </c>
      <c r="J171" s="2">
        <v>0</v>
      </c>
      <c r="K171" s="2">
        <v>15.5370142854135</v>
      </c>
      <c r="L171" s="2">
        <v>22.1957346934479</v>
      </c>
      <c r="M171" s="2">
        <v>0</v>
      </c>
      <c r="N171" s="2">
        <v>0</v>
      </c>
      <c r="O171" s="2">
        <v>1199</v>
      </c>
      <c r="P171" s="2">
        <v>-339</v>
      </c>
      <c r="Q171" s="2">
        <v>911</v>
      </c>
      <c r="R171" s="2">
        <v>693</v>
      </c>
      <c r="S171" s="2">
        <v>2065</v>
      </c>
      <c r="T171" s="2">
        <f t="shared" si="19"/>
        <v>309.89637855281626</v>
      </c>
      <c r="U171" s="2">
        <f t="shared" si="20"/>
        <v>306.35452705973239</v>
      </c>
      <c r="V171" s="2">
        <f t="shared" si="21"/>
        <v>134.11141132394866</v>
      </c>
      <c r="W171" s="2">
        <f t="shared" si="22"/>
        <v>750.36231693649734</v>
      </c>
      <c r="X171" s="2">
        <v>-4.1849999999999996</v>
      </c>
      <c r="Y171" s="2">
        <f t="shared" si="23"/>
        <v>4419.3623169364973</v>
      </c>
      <c r="Z171" s="2">
        <f t="shared" si="24"/>
        <v>4841.2260000000006</v>
      </c>
      <c r="AA171">
        <f t="shared" si="25"/>
        <v>4163.4580000000005</v>
      </c>
      <c r="AB171">
        <f t="shared" si="26"/>
        <v>3286.4</v>
      </c>
    </row>
    <row r="172" spans="1:28" x14ac:dyDescent="0.25">
      <c r="A172" s="2">
        <v>6500</v>
      </c>
      <c r="B172" s="2">
        <v>10.5005659386193</v>
      </c>
      <c r="C172" s="2">
        <v>10.94</v>
      </c>
      <c r="D172" s="2">
        <f t="shared" si="18"/>
        <v>31.439999999999998</v>
      </c>
      <c r="E172" s="2">
        <v>3.82</v>
      </c>
      <c r="F172" s="2">
        <v>11.18</v>
      </c>
      <c r="G172" s="2">
        <v>0</v>
      </c>
      <c r="H172" s="2">
        <v>0</v>
      </c>
      <c r="I172" s="2">
        <v>9.4340613806451704E-3</v>
      </c>
      <c r="J172" s="2">
        <v>1.0482290422939E-2</v>
      </c>
      <c r="K172" s="2">
        <v>15.54</v>
      </c>
      <c r="L172" s="2">
        <v>22.2</v>
      </c>
      <c r="M172" s="2">
        <v>0</v>
      </c>
      <c r="N172" s="2">
        <v>3</v>
      </c>
      <c r="O172" s="2">
        <v>1199</v>
      </c>
      <c r="P172" s="2">
        <v>-335</v>
      </c>
      <c r="Q172" s="2">
        <v>918</v>
      </c>
      <c r="R172" s="2">
        <v>692</v>
      </c>
      <c r="S172" s="2">
        <v>2065</v>
      </c>
      <c r="T172" s="2">
        <f t="shared" si="19"/>
        <v>298.43759709441304</v>
      </c>
      <c r="U172" s="2">
        <f t="shared" si="20"/>
        <v>306.05622664390012</v>
      </c>
      <c r="V172" s="2">
        <f t="shared" si="21"/>
        <v>133.98082572382796</v>
      </c>
      <c r="W172" s="2">
        <f t="shared" si="22"/>
        <v>738.47464946214109</v>
      </c>
      <c r="X172" s="2">
        <v>-4.1420000000000003</v>
      </c>
      <c r="Y172" s="2">
        <f t="shared" si="23"/>
        <v>4413.4746494621413</v>
      </c>
      <c r="Z172" s="2">
        <f t="shared" si="24"/>
        <v>4662.2160000000003</v>
      </c>
      <c r="AA172">
        <f t="shared" si="25"/>
        <v>4159.4040000000005</v>
      </c>
      <c r="AB172">
        <f t="shared" si="26"/>
        <v>3283.2000000000003</v>
      </c>
    </row>
    <row r="173" spans="1:28" x14ac:dyDescent="0.25">
      <c r="A173" s="2">
        <v>6368</v>
      </c>
      <c r="B173" s="2">
        <v>10.5073896370019</v>
      </c>
      <c r="C173" s="2">
        <v>10.71</v>
      </c>
      <c r="D173" s="2">
        <f t="shared" si="18"/>
        <v>31.21</v>
      </c>
      <c r="E173" s="2">
        <v>3.86</v>
      </c>
      <c r="F173" s="2">
        <v>10.99</v>
      </c>
      <c r="G173" s="2">
        <v>0</v>
      </c>
      <c r="H173" s="2">
        <v>0</v>
      </c>
      <c r="I173" s="2">
        <v>2.6103629980411798E-3</v>
      </c>
      <c r="J173" s="2">
        <v>2.9004033311568599E-3</v>
      </c>
      <c r="K173" s="2">
        <v>15.54</v>
      </c>
      <c r="L173" s="2">
        <v>22.2</v>
      </c>
      <c r="M173" s="2">
        <v>0</v>
      </c>
      <c r="N173" s="2">
        <v>1</v>
      </c>
      <c r="O173" s="2">
        <v>1199</v>
      </c>
      <c r="P173" s="2">
        <v>-322</v>
      </c>
      <c r="Q173" s="2">
        <v>929</v>
      </c>
      <c r="R173" s="2">
        <v>689</v>
      </c>
      <c r="S173" s="2">
        <v>2065</v>
      </c>
      <c r="T173" s="2">
        <f t="shared" si="19"/>
        <v>264.82517148309688</v>
      </c>
      <c r="U173" s="2">
        <f t="shared" si="20"/>
        <v>306.35452705973239</v>
      </c>
      <c r="V173" s="2">
        <f t="shared" si="21"/>
        <v>134.11141132394866</v>
      </c>
      <c r="W173" s="2">
        <f t="shared" si="22"/>
        <v>705.29110986677802</v>
      </c>
      <c r="X173" s="2">
        <v>-4.0179999999999998</v>
      </c>
      <c r="Y173" s="2">
        <f t="shared" si="23"/>
        <v>4388.2911098667782</v>
      </c>
      <c r="Z173" s="2">
        <f t="shared" si="24"/>
        <v>4137.12</v>
      </c>
      <c r="AA173">
        <f t="shared" si="25"/>
        <v>4163.4580000000005</v>
      </c>
      <c r="AB173">
        <f t="shared" si="26"/>
        <v>3286.4</v>
      </c>
    </row>
    <row r="174" spans="1:28" x14ac:dyDescent="0.25">
      <c r="A174" s="2">
        <v>6305</v>
      </c>
      <c r="B174" s="2">
        <v>10.509867231381699</v>
      </c>
      <c r="C174" s="2">
        <v>10.61</v>
      </c>
      <c r="D174" s="2">
        <f t="shared" si="18"/>
        <v>31.11</v>
      </c>
      <c r="E174" s="2">
        <v>3.88</v>
      </c>
      <c r="F174" s="2">
        <v>10.91</v>
      </c>
      <c r="G174" s="2">
        <v>0</v>
      </c>
      <c r="H174" s="2">
        <v>0</v>
      </c>
      <c r="I174" s="2">
        <v>1.32768618211542E-4</v>
      </c>
      <c r="J174" s="2">
        <v>1.47520686901714E-4</v>
      </c>
      <c r="K174" s="2">
        <v>15.54</v>
      </c>
      <c r="L174" s="2">
        <v>22.2</v>
      </c>
      <c r="M174" s="2">
        <v>0</v>
      </c>
      <c r="N174" s="2">
        <v>0</v>
      </c>
      <c r="O174" s="2">
        <v>1199</v>
      </c>
      <c r="P174" s="2">
        <v>-316</v>
      </c>
      <c r="Q174" s="2">
        <v>934</v>
      </c>
      <c r="R174" s="2">
        <v>687</v>
      </c>
      <c r="S174" s="2">
        <v>2065</v>
      </c>
      <c r="T174" s="2">
        <f t="shared" si="19"/>
        <v>248.78287744133235</v>
      </c>
      <c r="U174" s="2">
        <f t="shared" si="20"/>
        <v>306.35452705973239</v>
      </c>
      <c r="V174" s="2">
        <f t="shared" si="21"/>
        <v>134.11141132394866</v>
      </c>
      <c r="W174" s="2">
        <f t="shared" si="22"/>
        <v>689.24881582501348</v>
      </c>
      <c r="X174" s="2">
        <v>-3.9580000000000002</v>
      </c>
      <c r="Y174" s="2">
        <f t="shared" si="23"/>
        <v>4375.2488158250135</v>
      </c>
      <c r="Z174" s="2">
        <f t="shared" si="24"/>
        <v>3886.5060000000003</v>
      </c>
      <c r="AA174">
        <f t="shared" si="25"/>
        <v>4163.4580000000005</v>
      </c>
      <c r="AB174">
        <f t="shared" si="26"/>
        <v>3286.4</v>
      </c>
    </row>
    <row r="175" spans="1:28" x14ac:dyDescent="0.25">
      <c r="A175" s="2">
        <v>6280</v>
      </c>
      <c r="B175" s="2">
        <v>10.538721738183501</v>
      </c>
      <c r="C175" s="2">
        <v>10.57</v>
      </c>
      <c r="D175" s="2">
        <f t="shared" si="18"/>
        <v>31.07</v>
      </c>
      <c r="E175" s="2">
        <v>3.89</v>
      </c>
      <c r="F175" s="2">
        <v>10.87</v>
      </c>
      <c r="G175" s="2">
        <v>0</v>
      </c>
      <c r="H175" s="2">
        <v>0</v>
      </c>
      <c r="I175" s="2">
        <v>0</v>
      </c>
      <c r="J175" s="2">
        <v>0</v>
      </c>
      <c r="K175" s="2">
        <v>15.5112782618164</v>
      </c>
      <c r="L175" s="2">
        <v>22.158968945452099</v>
      </c>
      <c r="M175" s="2">
        <v>0</v>
      </c>
      <c r="N175" s="2">
        <v>0</v>
      </c>
      <c r="O175" s="2">
        <v>1197</v>
      </c>
      <c r="P175" s="2">
        <v>-313</v>
      </c>
      <c r="Q175" s="2">
        <v>935</v>
      </c>
      <c r="R175" s="2">
        <v>687</v>
      </c>
      <c r="S175" s="2">
        <v>2065</v>
      </c>
      <c r="T175" s="2">
        <f t="shared" si="19"/>
        <v>242.41688774221944</v>
      </c>
      <c r="U175" s="2">
        <f t="shared" si="20"/>
        <v>307.2494283072291</v>
      </c>
      <c r="V175" s="2">
        <f t="shared" si="21"/>
        <v>134.50316812431072</v>
      </c>
      <c r="W175" s="2">
        <f t="shared" si="22"/>
        <v>684.16948417375932</v>
      </c>
      <c r="X175" s="2">
        <v>-3.9289999999999998</v>
      </c>
      <c r="Y175" s="2">
        <f t="shared" si="23"/>
        <v>4371.169484173759</v>
      </c>
      <c r="Z175" s="2">
        <f t="shared" si="24"/>
        <v>3787.056</v>
      </c>
      <c r="AA175">
        <f t="shared" si="25"/>
        <v>4175.62</v>
      </c>
      <c r="AB175">
        <f t="shared" si="26"/>
        <v>3296</v>
      </c>
    </row>
    <row r="176" spans="1:28" x14ac:dyDescent="0.25">
      <c r="A176" s="2">
        <v>6156</v>
      </c>
      <c r="B176" s="2">
        <v>10.5181720807924</v>
      </c>
      <c r="C176" s="2">
        <v>10.36</v>
      </c>
      <c r="D176" s="2">
        <f t="shared" si="18"/>
        <v>30.86</v>
      </c>
      <c r="E176" s="2">
        <v>3.92</v>
      </c>
      <c r="F176" s="2">
        <v>10.7</v>
      </c>
      <c r="G176" s="2">
        <v>0</v>
      </c>
      <c r="H176" s="2">
        <v>0</v>
      </c>
      <c r="I176" s="2">
        <v>0</v>
      </c>
      <c r="J176" s="2">
        <v>0</v>
      </c>
      <c r="K176" s="2">
        <v>15.531827919207499</v>
      </c>
      <c r="L176" s="2">
        <v>22.188325598867898</v>
      </c>
      <c r="M176" s="2">
        <v>0</v>
      </c>
      <c r="N176" s="2">
        <v>0</v>
      </c>
      <c r="O176" s="2">
        <v>1198</v>
      </c>
      <c r="P176" s="2">
        <v>-301</v>
      </c>
      <c r="Q176" s="2">
        <v>948</v>
      </c>
      <c r="R176" s="2">
        <v>683</v>
      </c>
      <c r="S176" s="2">
        <v>2065</v>
      </c>
      <c r="T176" s="2">
        <f t="shared" si="19"/>
        <v>210.84157883461944</v>
      </c>
      <c r="U176" s="2">
        <f t="shared" si="20"/>
        <v>306.65282747556466</v>
      </c>
      <c r="V176" s="2">
        <f t="shared" si="21"/>
        <v>134.24199692406933</v>
      </c>
      <c r="W176" s="2">
        <f t="shared" si="22"/>
        <v>651.73640323425343</v>
      </c>
      <c r="X176" s="2">
        <v>-3.8149999999999999</v>
      </c>
      <c r="Y176" s="2">
        <f t="shared" si="23"/>
        <v>4347.7364032342539</v>
      </c>
      <c r="Z176" s="2">
        <f t="shared" si="24"/>
        <v>3293.7840000000001</v>
      </c>
      <c r="AA176">
        <f t="shared" si="25"/>
        <v>4167.5120000000006</v>
      </c>
      <c r="AB176">
        <f t="shared" si="26"/>
        <v>3289.6000000000004</v>
      </c>
    </row>
    <row r="177" spans="1:28" x14ac:dyDescent="0.25">
      <c r="A177" s="2">
        <v>6111</v>
      </c>
      <c r="B177" s="2">
        <v>10.518268196981101</v>
      </c>
      <c r="C177" s="2">
        <v>10.28</v>
      </c>
      <c r="D177" s="2">
        <f t="shared" si="18"/>
        <v>30.78</v>
      </c>
      <c r="E177" s="2">
        <v>3.94</v>
      </c>
      <c r="F177" s="2">
        <v>10.64</v>
      </c>
      <c r="G177" s="2">
        <v>0</v>
      </c>
      <c r="H177" s="2">
        <v>0</v>
      </c>
      <c r="I177" s="2">
        <v>0</v>
      </c>
      <c r="J177" s="2">
        <v>0</v>
      </c>
      <c r="K177" s="2">
        <v>15.531731803018801</v>
      </c>
      <c r="L177" s="2">
        <v>22.188188290026801</v>
      </c>
      <c r="M177" s="2">
        <v>0</v>
      </c>
      <c r="N177" s="2">
        <v>0</v>
      </c>
      <c r="O177" s="2">
        <v>1198</v>
      </c>
      <c r="P177" s="2">
        <v>-297</v>
      </c>
      <c r="Q177" s="2">
        <v>953</v>
      </c>
      <c r="R177" s="2">
        <v>682</v>
      </c>
      <c r="S177" s="2">
        <v>2065</v>
      </c>
      <c r="T177" s="2">
        <f t="shared" si="19"/>
        <v>199.38279737621622</v>
      </c>
      <c r="U177" s="2">
        <f t="shared" si="20"/>
        <v>306.65282747556466</v>
      </c>
      <c r="V177" s="2">
        <f t="shared" si="21"/>
        <v>134.24199692406933</v>
      </c>
      <c r="W177" s="2">
        <f t="shared" si="22"/>
        <v>640.27762177585021</v>
      </c>
      <c r="X177" s="2">
        <v>-3.7730000000000001</v>
      </c>
      <c r="Y177" s="2">
        <f t="shared" si="23"/>
        <v>4340.2776217758501</v>
      </c>
      <c r="Z177" s="2">
        <f t="shared" si="24"/>
        <v>3114.7740000000003</v>
      </c>
      <c r="AA177">
        <f t="shared" si="25"/>
        <v>4167.5120000000006</v>
      </c>
      <c r="AB177">
        <f t="shared" si="26"/>
        <v>3289.6000000000004</v>
      </c>
    </row>
    <row r="178" spans="1:28" x14ac:dyDescent="0.25">
      <c r="A178" s="2">
        <v>6060</v>
      </c>
      <c r="B178" s="2">
        <v>10.509887609315401</v>
      </c>
      <c r="C178" s="2">
        <v>10.199999999999999</v>
      </c>
      <c r="D178" s="2">
        <f t="shared" si="18"/>
        <v>30.7</v>
      </c>
      <c r="E178" s="2">
        <v>3.95</v>
      </c>
      <c r="F178" s="2">
        <v>10.57</v>
      </c>
      <c r="G178" s="2">
        <v>0</v>
      </c>
      <c r="H178" s="2">
        <v>0</v>
      </c>
      <c r="I178" s="2">
        <v>1.12390684531504E-4</v>
      </c>
      <c r="J178" s="2">
        <v>1.2487853836833801E-4</v>
      </c>
      <c r="K178" s="2">
        <v>15.54</v>
      </c>
      <c r="L178" s="2">
        <v>22.2</v>
      </c>
      <c r="M178" s="2">
        <v>0</v>
      </c>
      <c r="N178" s="2">
        <v>0</v>
      </c>
      <c r="O178" s="2">
        <v>1199</v>
      </c>
      <c r="P178" s="2">
        <v>-292</v>
      </c>
      <c r="Q178" s="2">
        <v>958</v>
      </c>
      <c r="R178" s="2">
        <v>681</v>
      </c>
      <c r="S178" s="2">
        <v>2065</v>
      </c>
      <c r="T178" s="2">
        <f t="shared" si="19"/>
        <v>186.39617839002588</v>
      </c>
      <c r="U178" s="2">
        <f t="shared" si="20"/>
        <v>306.35452705973239</v>
      </c>
      <c r="V178" s="2">
        <f t="shared" si="21"/>
        <v>134.11141132394866</v>
      </c>
      <c r="W178" s="2">
        <f t="shared" si="22"/>
        <v>626.86211677370693</v>
      </c>
      <c r="X178" s="2">
        <v>-3.726</v>
      </c>
      <c r="Y178" s="2">
        <f t="shared" si="23"/>
        <v>4330.8621167737074</v>
      </c>
      <c r="Z178" s="2">
        <f t="shared" si="24"/>
        <v>2911.8960000000002</v>
      </c>
      <c r="AA178">
        <f t="shared" si="25"/>
        <v>4163.4580000000005</v>
      </c>
      <c r="AB178">
        <f t="shared" si="26"/>
        <v>3286.4</v>
      </c>
    </row>
    <row r="179" spans="1:28" x14ac:dyDescent="0.25">
      <c r="A179" s="2">
        <v>6016</v>
      </c>
      <c r="B179" s="2">
        <v>10.5448076281991</v>
      </c>
      <c r="C179" s="2">
        <v>10.119999999999999</v>
      </c>
      <c r="D179" s="2">
        <f t="shared" si="18"/>
        <v>30.619999999999997</v>
      </c>
      <c r="E179" s="2">
        <v>3.97</v>
      </c>
      <c r="F179" s="2">
        <v>10.5</v>
      </c>
      <c r="G179" s="2">
        <v>0</v>
      </c>
      <c r="H179" s="2">
        <v>0</v>
      </c>
      <c r="I179" s="2">
        <v>0</v>
      </c>
      <c r="J179" s="2">
        <v>0</v>
      </c>
      <c r="K179" s="2">
        <v>15.505192371800799</v>
      </c>
      <c r="L179" s="2">
        <v>22.1502748168583</v>
      </c>
      <c r="M179" s="2">
        <v>0</v>
      </c>
      <c r="N179" s="2">
        <v>0</v>
      </c>
      <c r="O179" s="2">
        <v>1196</v>
      </c>
      <c r="P179" s="2">
        <v>-287</v>
      </c>
      <c r="Q179" s="2">
        <v>961</v>
      </c>
      <c r="R179" s="2">
        <v>680</v>
      </c>
      <c r="S179" s="2">
        <v>2065</v>
      </c>
      <c r="T179" s="2">
        <f t="shared" si="19"/>
        <v>175.19203651958716</v>
      </c>
      <c r="U179" s="2">
        <f t="shared" si="20"/>
        <v>307.54772872306137</v>
      </c>
      <c r="V179" s="2">
        <f t="shared" si="21"/>
        <v>134.63375372443141</v>
      </c>
      <c r="W179" s="2">
        <f t="shared" si="22"/>
        <v>617.37351896707992</v>
      </c>
      <c r="X179" s="2">
        <v>-3.6779999999999999</v>
      </c>
      <c r="Y179" s="2">
        <f t="shared" si="23"/>
        <v>4323.3735189670797</v>
      </c>
      <c r="Z179" s="2">
        <f t="shared" si="24"/>
        <v>2736.864</v>
      </c>
      <c r="AA179">
        <f t="shared" si="25"/>
        <v>4179.674</v>
      </c>
      <c r="AB179">
        <f t="shared" si="26"/>
        <v>3299.2000000000003</v>
      </c>
    </row>
    <row r="180" spans="1:28" x14ac:dyDescent="0.25">
      <c r="A180" s="2">
        <v>5986</v>
      </c>
      <c r="B180" s="2">
        <v>10.546871230036899</v>
      </c>
      <c r="C180" s="2">
        <v>10.07</v>
      </c>
      <c r="D180" s="2">
        <f t="shared" si="18"/>
        <v>30.57</v>
      </c>
      <c r="E180" s="2">
        <v>3.98</v>
      </c>
      <c r="F180" s="2">
        <v>10.46</v>
      </c>
      <c r="G180" s="2">
        <v>0</v>
      </c>
      <c r="H180" s="2">
        <v>0</v>
      </c>
      <c r="I180" s="2">
        <v>0</v>
      </c>
      <c r="J180" s="2">
        <v>0</v>
      </c>
      <c r="K180" s="2">
        <v>15.503128769963</v>
      </c>
      <c r="L180" s="2">
        <v>22.147326814232901</v>
      </c>
      <c r="M180" s="2">
        <v>0</v>
      </c>
      <c r="N180" s="2">
        <v>0</v>
      </c>
      <c r="O180" s="2">
        <v>1196</v>
      </c>
      <c r="P180" s="2">
        <v>-284</v>
      </c>
      <c r="Q180" s="2">
        <v>963</v>
      </c>
      <c r="R180" s="2">
        <v>679</v>
      </c>
      <c r="S180" s="2">
        <v>2065</v>
      </c>
      <c r="T180" s="2">
        <f t="shared" si="19"/>
        <v>167.55284888065171</v>
      </c>
      <c r="U180" s="2">
        <f t="shared" si="20"/>
        <v>307.54772872306137</v>
      </c>
      <c r="V180" s="2">
        <f t="shared" si="21"/>
        <v>134.63375372443141</v>
      </c>
      <c r="W180" s="2">
        <f t="shared" si="22"/>
        <v>609.73433132814444</v>
      </c>
      <c r="X180" s="2">
        <v>-3.649</v>
      </c>
      <c r="Y180" s="2">
        <f t="shared" si="23"/>
        <v>4316.7343313281444</v>
      </c>
      <c r="Z180" s="2">
        <f t="shared" si="24"/>
        <v>2617.5240000000003</v>
      </c>
      <c r="AA180">
        <f t="shared" si="25"/>
        <v>4179.674</v>
      </c>
      <c r="AB180">
        <f t="shared" si="26"/>
        <v>3299.2000000000003</v>
      </c>
    </row>
    <row r="181" spans="1:28" x14ac:dyDescent="0.25">
      <c r="A181" s="2">
        <v>5928</v>
      </c>
      <c r="B181" s="2">
        <v>10.5164646978647</v>
      </c>
      <c r="C181" s="2">
        <v>9.9700000000000006</v>
      </c>
      <c r="D181" s="2">
        <f t="shared" si="18"/>
        <v>30.47</v>
      </c>
      <c r="E181" s="2">
        <v>3.99</v>
      </c>
      <c r="F181" s="2">
        <v>10.38</v>
      </c>
      <c r="G181" s="2">
        <v>0</v>
      </c>
      <c r="H181" s="2">
        <v>0</v>
      </c>
      <c r="I181" s="2">
        <v>0</v>
      </c>
      <c r="J181" s="2">
        <v>0</v>
      </c>
      <c r="K181" s="2">
        <v>15.533535302135199</v>
      </c>
      <c r="L181" s="2">
        <v>22.190764717335998</v>
      </c>
      <c r="M181" s="2">
        <v>0</v>
      </c>
      <c r="N181" s="2">
        <v>0</v>
      </c>
      <c r="O181" s="2">
        <v>1198</v>
      </c>
      <c r="P181" s="2">
        <v>-279</v>
      </c>
      <c r="Q181" s="2">
        <v>971</v>
      </c>
      <c r="R181" s="2">
        <v>678</v>
      </c>
      <c r="S181" s="2">
        <v>2065</v>
      </c>
      <c r="T181" s="2">
        <f t="shared" si="19"/>
        <v>152.78375277870975</v>
      </c>
      <c r="U181" s="2">
        <f t="shared" si="20"/>
        <v>306.65282747556466</v>
      </c>
      <c r="V181" s="2">
        <f t="shared" si="21"/>
        <v>134.24199692406933</v>
      </c>
      <c r="W181" s="2">
        <f t="shared" si="22"/>
        <v>593.67857717834374</v>
      </c>
      <c r="X181" s="2">
        <v>-3.6</v>
      </c>
      <c r="Y181" s="2">
        <f t="shared" si="23"/>
        <v>4307.6785771783434</v>
      </c>
      <c r="Z181" s="2">
        <f t="shared" si="24"/>
        <v>2386.8000000000002</v>
      </c>
      <c r="AA181">
        <f t="shared" si="25"/>
        <v>4167.5120000000006</v>
      </c>
      <c r="AB181">
        <f t="shared" si="26"/>
        <v>3289.6000000000004</v>
      </c>
    </row>
    <row r="182" spans="1:28" x14ac:dyDescent="0.25">
      <c r="A182" s="2">
        <v>5823</v>
      </c>
      <c r="B182" s="2">
        <v>10.527767561774001</v>
      </c>
      <c r="C182" s="2">
        <v>9.8000000000000007</v>
      </c>
      <c r="D182" s="2">
        <f t="shared" si="18"/>
        <v>30.3</v>
      </c>
      <c r="E182" s="2">
        <v>4.03</v>
      </c>
      <c r="F182" s="2">
        <v>10.24</v>
      </c>
      <c r="G182" s="2">
        <v>0</v>
      </c>
      <c r="H182" s="2">
        <v>0</v>
      </c>
      <c r="I182" s="2">
        <v>0</v>
      </c>
      <c r="J182" s="2">
        <v>0</v>
      </c>
      <c r="K182" s="2">
        <v>15.522232438225901</v>
      </c>
      <c r="L182" s="2">
        <v>22.174617768894201</v>
      </c>
      <c r="M182" s="2">
        <v>0</v>
      </c>
      <c r="N182" s="2">
        <v>0</v>
      </c>
      <c r="O182" s="2">
        <v>1197</v>
      </c>
      <c r="P182" s="2">
        <v>-268</v>
      </c>
      <c r="Q182" s="2">
        <v>980</v>
      </c>
      <c r="R182" s="2">
        <v>675</v>
      </c>
      <c r="S182" s="2">
        <v>2065</v>
      </c>
      <c r="T182" s="2">
        <f t="shared" si="19"/>
        <v>126.04659604243555</v>
      </c>
      <c r="U182" s="2">
        <f t="shared" si="20"/>
        <v>306.95112789139688</v>
      </c>
      <c r="V182" s="2">
        <f t="shared" si="21"/>
        <v>134.37258252419002</v>
      </c>
      <c r="W182" s="2">
        <f t="shared" si="22"/>
        <v>567.37030645802247</v>
      </c>
      <c r="X182" s="2">
        <v>-3.4980000000000002</v>
      </c>
      <c r="Y182" s="2">
        <f t="shared" si="23"/>
        <v>4287.3703064580222</v>
      </c>
      <c r="Z182" s="2">
        <f t="shared" si="24"/>
        <v>1969.1100000000001</v>
      </c>
      <c r="AA182">
        <f t="shared" si="25"/>
        <v>4171.5660000000007</v>
      </c>
      <c r="AB182">
        <f t="shared" si="26"/>
        <v>3292.8</v>
      </c>
    </row>
    <row r="183" spans="1:28" x14ac:dyDescent="0.25">
      <c r="A183" s="2">
        <v>5777</v>
      </c>
      <c r="B183" s="2">
        <v>10.5164646978647</v>
      </c>
      <c r="C183" s="2">
        <v>9.7200000000000006</v>
      </c>
      <c r="D183" s="2">
        <f t="shared" si="18"/>
        <v>30.22</v>
      </c>
      <c r="E183" s="2">
        <v>4.04</v>
      </c>
      <c r="F183" s="2">
        <v>10.18</v>
      </c>
      <c r="G183" s="2">
        <v>0</v>
      </c>
      <c r="H183" s="2">
        <v>0</v>
      </c>
      <c r="I183" s="2">
        <v>0</v>
      </c>
      <c r="J183" s="2">
        <v>0</v>
      </c>
      <c r="K183" s="2">
        <v>15.533535302135199</v>
      </c>
      <c r="L183" s="2">
        <v>22.190764717335998</v>
      </c>
      <c r="M183" s="2">
        <v>0</v>
      </c>
      <c r="N183" s="2">
        <v>0</v>
      </c>
      <c r="O183" s="2">
        <v>1198</v>
      </c>
      <c r="P183" s="2">
        <v>-264</v>
      </c>
      <c r="Q183" s="2">
        <v>986</v>
      </c>
      <c r="R183" s="2">
        <v>674</v>
      </c>
      <c r="S183" s="2">
        <v>2065</v>
      </c>
      <c r="T183" s="2">
        <f t="shared" si="19"/>
        <v>114.33317499606778</v>
      </c>
      <c r="U183" s="2">
        <f t="shared" si="20"/>
        <v>306.65282747556466</v>
      </c>
      <c r="V183" s="2">
        <f t="shared" si="21"/>
        <v>134.24199692406933</v>
      </c>
      <c r="W183" s="2">
        <f t="shared" si="22"/>
        <v>555.22799939570177</v>
      </c>
      <c r="X183" s="2">
        <v>-3.4569999999999999</v>
      </c>
      <c r="Y183" s="2">
        <f t="shared" si="23"/>
        <v>4280.2279993957018</v>
      </c>
      <c r="Z183" s="2">
        <f t="shared" si="24"/>
        <v>1786.1220000000001</v>
      </c>
      <c r="AA183">
        <f t="shared" si="25"/>
        <v>4167.5120000000006</v>
      </c>
      <c r="AB183">
        <f t="shared" si="26"/>
        <v>3289.6000000000004</v>
      </c>
    </row>
    <row r="184" spans="1:28" x14ac:dyDescent="0.25">
      <c r="A184" s="2">
        <v>5717</v>
      </c>
      <c r="B184" s="2">
        <v>10.5309399428644</v>
      </c>
      <c r="C184" s="2">
        <v>9.6199999999999992</v>
      </c>
      <c r="D184" s="2">
        <f t="shared" si="18"/>
        <v>30.119999999999997</v>
      </c>
      <c r="E184" s="2">
        <v>4.0599999999999996</v>
      </c>
      <c r="F184" s="2">
        <v>10.09</v>
      </c>
      <c r="G184" s="2">
        <v>0</v>
      </c>
      <c r="H184" s="2">
        <v>0</v>
      </c>
      <c r="I184" s="2">
        <v>0</v>
      </c>
      <c r="J184" s="2">
        <v>0</v>
      </c>
      <c r="K184" s="2">
        <v>15.5190600571355</v>
      </c>
      <c r="L184" s="2">
        <v>22.170085795907799</v>
      </c>
      <c r="M184" s="2">
        <v>0</v>
      </c>
      <c r="N184" s="2">
        <v>0</v>
      </c>
      <c r="O184" s="2">
        <v>1197</v>
      </c>
      <c r="P184" s="2">
        <v>-258</v>
      </c>
      <c r="Q184" s="2">
        <v>991</v>
      </c>
      <c r="R184" s="2">
        <v>672</v>
      </c>
      <c r="S184" s="2">
        <v>2065</v>
      </c>
      <c r="T184" s="2">
        <f t="shared" si="19"/>
        <v>99.054799718196819</v>
      </c>
      <c r="U184" s="2">
        <f t="shared" si="20"/>
        <v>306.95112789139688</v>
      </c>
      <c r="V184" s="2">
        <f t="shared" si="21"/>
        <v>134.37258252419002</v>
      </c>
      <c r="W184" s="2">
        <f t="shared" si="22"/>
        <v>540.37851013378372</v>
      </c>
      <c r="X184" s="2">
        <v>-3.3969999999999998</v>
      </c>
      <c r="Y184" s="2">
        <f t="shared" si="23"/>
        <v>4268.3785101337835</v>
      </c>
      <c r="Z184" s="2">
        <f t="shared" si="24"/>
        <v>1547.442</v>
      </c>
      <c r="AA184">
        <f t="shared" si="25"/>
        <v>4171.5660000000007</v>
      </c>
      <c r="AB184">
        <f t="shared" si="26"/>
        <v>3292.8</v>
      </c>
    </row>
    <row r="185" spans="1:28" x14ac:dyDescent="0.25">
      <c r="A185" s="2">
        <v>5617</v>
      </c>
      <c r="B185" s="2">
        <v>10.5828364162069</v>
      </c>
      <c r="C185" s="2">
        <v>9.4499999999999993</v>
      </c>
      <c r="D185" s="2">
        <f t="shared" si="18"/>
        <v>29.95</v>
      </c>
      <c r="E185" s="2">
        <v>4.0999999999999996</v>
      </c>
      <c r="F185" s="2">
        <v>9.9499999999999993</v>
      </c>
      <c r="G185" s="2">
        <v>0</v>
      </c>
      <c r="H185" s="2">
        <v>0</v>
      </c>
      <c r="I185" s="2">
        <v>0</v>
      </c>
      <c r="J185" s="2">
        <v>0</v>
      </c>
      <c r="K185" s="2">
        <v>15.467163583793001</v>
      </c>
      <c r="L185" s="2">
        <v>22.095947976847199</v>
      </c>
      <c r="M185" s="2">
        <v>0</v>
      </c>
      <c r="N185" s="2">
        <v>0</v>
      </c>
      <c r="O185" s="2">
        <v>1193</v>
      </c>
      <c r="P185" s="2">
        <v>-247</v>
      </c>
      <c r="Q185" s="2">
        <v>998</v>
      </c>
      <c r="R185" s="2">
        <v>670</v>
      </c>
      <c r="S185" s="2">
        <v>2066</v>
      </c>
      <c r="T185" s="2">
        <f t="shared" si="19"/>
        <v>73.590840921745198</v>
      </c>
      <c r="U185" s="2">
        <f t="shared" si="20"/>
        <v>308.44262997055813</v>
      </c>
      <c r="V185" s="2">
        <f t="shared" si="21"/>
        <v>135.02551052479348</v>
      </c>
      <c r="W185" s="2">
        <f t="shared" si="22"/>
        <v>517.05898141709679</v>
      </c>
      <c r="X185" s="2">
        <v>-3.2930000000000001</v>
      </c>
      <c r="Y185" s="2">
        <f t="shared" si="23"/>
        <v>4251.0589814170971</v>
      </c>
      <c r="Z185" s="2">
        <f t="shared" si="24"/>
        <v>1149.6420000000001</v>
      </c>
      <c r="AA185">
        <f t="shared" si="25"/>
        <v>4191.8360000000002</v>
      </c>
      <c r="AB185">
        <f t="shared" si="26"/>
        <v>3308.8</v>
      </c>
    </row>
    <row r="186" spans="1:28" x14ac:dyDescent="0.25">
      <c r="A186" s="2">
        <v>5562</v>
      </c>
      <c r="B186" s="2">
        <v>10.5129986492712</v>
      </c>
      <c r="C186" s="2">
        <v>9.36</v>
      </c>
      <c r="D186" s="2">
        <f t="shared" si="18"/>
        <v>29.86</v>
      </c>
      <c r="E186" s="2">
        <v>4.1100000000000003</v>
      </c>
      <c r="F186" s="2">
        <v>9.8800000000000008</v>
      </c>
      <c r="G186" s="2">
        <v>0</v>
      </c>
      <c r="H186" s="2">
        <v>0</v>
      </c>
      <c r="I186" s="2">
        <v>0</v>
      </c>
      <c r="J186" s="2">
        <v>0</v>
      </c>
      <c r="K186" s="2">
        <v>15.537001350728699</v>
      </c>
      <c r="L186" s="2">
        <v>22.195716215326701</v>
      </c>
      <c r="M186" s="2">
        <v>0</v>
      </c>
      <c r="N186" s="2">
        <v>0</v>
      </c>
      <c r="O186" s="2">
        <v>1199</v>
      </c>
      <c r="P186" s="2">
        <v>-243</v>
      </c>
      <c r="Q186" s="2">
        <v>1007</v>
      </c>
      <c r="R186" s="2">
        <v>669</v>
      </c>
      <c r="S186" s="2">
        <v>2065</v>
      </c>
      <c r="T186" s="2">
        <f t="shared" si="19"/>
        <v>59.585663583696807</v>
      </c>
      <c r="U186" s="2">
        <f t="shared" si="20"/>
        <v>306.35452705973239</v>
      </c>
      <c r="V186" s="2">
        <f t="shared" si="21"/>
        <v>134.11141132394866</v>
      </c>
      <c r="W186" s="2">
        <f t="shared" si="22"/>
        <v>500.05160196737791</v>
      </c>
      <c r="X186" s="2">
        <v>-3.2530000000000001</v>
      </c>
      <c r="Y186" s="2">
        <f t="shared" si="23"/>
        <v>4241.0516019673778</v>
      </c>
      <c r="Z186" s="2">
        <f t="shared" si="24"/>
        <v>930.85200000000009</v>
      </c>
      <c r="AA186">
        <f t="shared" si="25"/>
        <v>4163.4580000000005</v>
      </c>
      <c r="AB186">
        <f t="shared" si="26"/>
        <v>3286.4</v>
      </c>
    </row>
    <row r="187" spans="1:28" x14ac:dyDescent="0.25">
      <c r="A187" s="2">
        <v>5493</v>
      </c>
      <c r="B187" s="2">
        <v>10.492578882714501</v>
      </c>
      <c r="C187" s="2">
        <v>9.24</v>
      </c>
      <c r="D187" s="2">
        <f t="shared" si="18"/>
        <v>29.740000000000002</v>
      </c>
      <c r="E187" s="2">
        <v>4.12</v>
      </c>
      <c r="F187" s="2">
        <v>9.7899999999999991</v>
      </c>
      <c r="G187" s="2">
        <v>0</v>
      </c>
      <c r="H187" s="2">
        <v>0</v>
      </c>
      <c r="I187" s="2">
        <v>1.7421117285420999E-2</v>
      </c>
      <c r="J187" s="2">
        <v>1.9356796983801099E-2</v>
      </c>
      <c r="K187" s="2">
        <v>15.54</v>
      </c>
      <c r="L187" s="2">
        <v>22.2</v>
      </c>
      <c r="M187" s="2">
        <v>0</v>
      </c>
      <c r="N187" s="2">
        <v>5</v>
      </c>
      <c r="O187" s="2">
        <v>1199</v>
      </c>
      <c r="P187" s="2">
        <v>-237</v>
      </c>
      <c r="Q187" s="2">
        <v>1018</v>
      </c>
      <c r="R187" s="2">
        <v>667</v>
      </c>
      <c r="S187" s="2">
        <v>2064</v>
      </c>
      <c r="T187" s="2">
        <f t="shared" si="19"/>
        <v>42.01553201414518</v>
      </c>
      <c r="U187" s="2">
        <f t="shared" si="20"/>
        <v>305.75792622806784</v>
      </c>
      <c r="V187" s="2">
        <f t="shared" si="21"/>
        <v>133.85024012370724</v>
      </c>
      <c r="W187" s="2">
        <f t="shared" si="22"/>
        <v>481.62369836592023</v>
      </c>
      <c r="X187" s="2">
        <v>-3.1880000000000002</v>
      </c>
      <c r="Y187" s="2">
        <f t="shared" si="23"/>
        <v>4230.6236983659201</v>
      </c>
      <c r="Z187" s="2">
        <f t="shared" si="24"/>
        <v>656.37</v>
      </c>
      <c r="AA187">
        <f t="shared" si="25"/>
        <v>4155.3500000000004</v>
      </c>
      <c r="AB187">
        <f t="shared" si="26"/>
        <v>3280</v>
      </c>
    </row>
    <row r="188" spans="1:28" x14ac:dyDescent="0.25">
      <c r="A188" s="2">
        <v>5493</v>
      </c>
      <c r="B188" s="2">
        <v>10.492578882714501</v>
      </c>
      <c r="C188" s="2">
        <v>9.24</v>
      </c>
      <c r="D188" s="2">
        <f t="shared" si="18"/>
        <v>29.740000000000002</v>
      </c>
      <c r="E188" s="2">
        <v>4.12</v>
      </c>
      <c r="F188" s="2">
        <v>9.7899999999999991</v>
      </c>
      <c r="G188" s="2">
        <v>0</v>
      </c>
      <c r="H188" s="2">
        <v>0</v>
      </c>
      <c r="I188" s="2">
        <v>1.7421117285420999E-2</v>
      </c>
      <c r="J188" s="2">
        <v>1.9356796983801099E-2</v>
      </c>
      <c r="K188" s="2">
        <v>15.54</v>
      </c>
      <c r="L188" s="2">
        <v>22.2</v>
      </c>
      <c r="M188" s="2">
        <v>0</v>
      </c>
      <c r="N188" s="2">
        <v>5</v>
      </c>
      <c r="O188" s="2">
        <v>1199</v>
      </c>
      <c r="P188" s="2">
        <v>-237</v>
      </c>
      <c r="Q188" s="2">
        <v>1018</v>
      </c>
      <c r="R188" s="2">
        <v>667</v>
      </c>
      <c r="S188" s="2">
        <v>2064</v>
      </c>
      <c r="T188" s="2">
        <f t="shared" si="19"/>
        <v>42.01553201414518</v>
      </c>
      <c r="U188" s="2">
        <f t="shared" si="20"/>
        <v>305.75792622806784</v>
      </c>
      <c r="V188" s="2">
        <f t="shared" si="21"/>
        <v>133.85024012370724</v>
      </c>
      <c r="W188" s="2">
        <f t="shared" si="22"/>
        <v>481.62369836592023</v>
      </c>
      <c r="X188" s="2">
        <v>-3.1880000000000002</v>
      </c>
      <c r="Y188" s="2">
        <f t="shared" si="23"/>
        <v>4230.6236983659201</v>
      </c>
      <c r="Z188" s="2">
        <f t="shared" si="24"/>
        <v>656.37</v>
      </c>
      <c r="AA188">
        <f t="shared" si="25"/>
        <v>4155.3500000000004</v>
      </c>
      <c r="AB188">
        <f t="shared" si="26"/>
        <v>3280</v>
      </c>
    </row>
    <row r="189" spans="1:28" x14ac:dyDescent="0.25">
      <c r="A189" s="2">
        <v>5444</v>
      </c>
      <c r="B189" s="2">
        <v>10.5122109661839</v>
      </c>
      <c r="C189" s="2">
        <v>9.16</v>
      </c>
      <c r="D189" s="2">
        <f t="shared" si="18"/>
        <v>29.66</v>
      </c>
      <c r="E189" s="2">
        <v>4.1399999999999997</v>
      </c>
      <c r="F189" s="2">
        <v>9.7200000000000006</v>
      </c>
      <c r="G189" s="2">
        <v>0</v>
      </c>
      <c r="H189" s="2">
        <v>0</v>
      </c>
      <c r="I189" s="2">
        <v>0</v>
      </c>
      <c r="J189" s="2">
        <v>0</v>
      </c>
      <c r="K189" s="2">
        <v>15.537789033816001</v>
      </c>
      <c r="L189" s="2">
        <v>22.19684147688</v>
      </c>
      <c r="M189" s="2">
        <v>0</v>
      </c>
      <c r="N189" s="2">
        <v>0</v>
      </c>
      <c r="O189" s="2">
        <v>1199</v>
      </c>
      <c r="P189" s="2">
        <v>-231</v>
      </c>
      <c r="Q189" s="2">
        <v>1019</v>
      </c>
      <c r="R189" s="2">
        <v>666</v>
      </c>
      <c r="S189" s="2">
        <v>2065</v>
      </c>
      <c r="T189" s="2">
        <f t="shared" si="19"/>
        <v>29.538192203883884</v>
      </c>
      <c r="U189" s="2">
        <f t="shared" si="20"/>
        <v>306.35452705973239</v>
      </c>
      <c r="V189" s="2">
        <f t="shared" si="21"/>
        <v>134.11141132394866</v>
      </c>
      <c r="W189" s="2">
        <f t="shared" si="22"/>
        <v>470.00413058756499</v>
      </c>
      <c r="X189" s="2">
        <v>-3.1419999999999999</v>
      </c>
      <c r="Y189" s="2">
        <f t="shared" si="23"/>
        <v>4220.0041305875648</v>
      </c>
      <c r="Z189" s="2">
        <f t="shared" si="24"/>
        <v>461.44800000000004</v>
      </c>
      <c r="AA189">
        <f t="shared" si="25"/>
        <v>4163.4580000000005</v>
      </c>
      <c r="AB189">
        <f t="shared" si="26"/>
        <v>3286.4</v>
      </c>
    </row>
    <row r="190" spans="1:28" x14ac:dyDescent="0.25">
      <c r="A190" s="2">
        <v>5328</v>
      </c>
      <c r="B190" s="2">
        <v>10.508623209900801</v>
      </c>
      <c r="C190" s="2">
        <v>8.9600000000000009</v>
      </c>
      <c r="D190" s="2">
        <f t="shared" si="18"/>
        <v>29.46</v>
      </c>
      <c r="E190" s="2">
        <v>4.18</v>
      </c>
      <c r="F190" s="2">
        <v>9.56</v>
      </c>
      <c r="G190" s="2">
        <v>0</v>
      </c>
      <c r="H190" s="2">
        <v>0</v>
      </c>
      <c r="I190" s="2">
        <v>1.3767900991386E-3</v>
      </c>
      <c r="J190" s="2">
        <v>1.52976677682066E-3</v>
      </c>
      <c r="K190" s="2">
        <v>15.54</v>
      </c>
      <c r="L190" s="2">
        <v>22.2</v>
      </c>
      <c r="M190" s="2">
        <v>0</v>
      </c>
      <c r="N190" s="2">
        <v>0</v>
      </c>
      <c r="O190" s="2">
        <v>1199</v>
      </c>
      <c r="P190" s="2">
        <v>-220</v>
      </c>
      <c r="Q190" s="2">
        <v>1030</v>
      </c>
      <c r="R190" s="2">
        <v>663</v>
      </c>
      <c r="S190" s="2">
        <v>2065</v>
      </c>
      <c r="T190" s="2">
        <f t="shared" si="19"/>
        <v>0</v>
      </c>
      <c r="U190" s="2">
        <f t="shared" si="20"/>
        <v>306.35452705973239</v>
      </c>
      <c r="V190" s="2">
        <f t="shared" si="21"/>
        <v>134.11141132394866</v>
      </c>
      <c r="W190" s="2">
        <f t="shared" si="22"/>
        <v>440.46593838368108</v>
      </c>
      <c r="X190" s="2">
        <v>-3.032</v>
      </c>
      <c r="Y190" s="2">
        <f t="shared" si="23"/>
        <v>4198.4659383836806</v>
      </c>
      <c r="Z190" s="2">
        <f t="shared" si="24"/>
        <v>0</v>
      </c>
      <c r="AA190">
        <f t="shared" si="25"/>
        <v>4163.4580000000005</v>
      </c>
      <c r="AB190">
        <f t="shared" si="26"/>
        <v>3286.4</v>
      </c>
    </row>
    <row r="191" spans="1:28" x14ac:dyDescent="0.25">
      <c r="A191" s="2">
        <v>5328</v>
      </c>
      <c r="B191" s="2">
        <v>10.508623209900801</v>
      </c>
      <c r="C191" s="2">
        <v>8.9600000000000009</v>
      </c>
      <c r="D191" s="2">
        <f t="shared" si="18"/>
        <v>29.46</v>
      </c>
      <c r="E191" s="2">
        <v>4.18</v>
      </c>
      <c r="F191" s="2">
        <v>9.56</v>
      </c>
      <c r="G191" s="2">
        <v>0</v>
      </c>
      <c r="H191" s="2">
        <v>0</v>
      </c>
      <c r="I191" s="2">
        <v>1.3767900991386E-3</v>
      </c>
      <c r="J191" s="2">
        <v>1.52976677682066E-3</v>
      </c>
      <c r="K191" s="2">
        <v>15.54</v>
      </c>
      <c r="L191" s="2">
        <v>22.2</v>
      </c>
      <c r="M191" s="2">
        <v>0</v>
      </c>
      <c r="N191" s="2">
        <v>0</v>
      </c>
      <c r="O191" s="2">
        <v>1199</v>
      </c>
      <c r="P191" s="2">
        <v>-220</v>
      </c>
      <c r="Q191" s="2">
        <v>1030</v>
      </c>
      <c r="R191" s="2">
        <v>663</v>
      </c>
      <c r="S191" s="2">
        <v>2065</v>
      </c>
      <c r="T191" s="2">
        <f t="shared" si="19"/>
        <v>0</v>
      </c>
      <c r="U191" s="2">
        <f t="shared" si="20"/>
        <v>306.35452705973239</v>
      </c>
      <c r="V191" s="2">
        <f t="shared" si="21"/>
        <v>134.11141132394866</v>
      </c>
      <c r="W191" s="2">
        <f t="shared" si="22"/>
        <v>440.46593838368108</v>
      </c>
      <c r="X191" s="2">
        <v>-3.032</v>
      </c>
      <c r="Y191" s="2">
        <f t="shared" si="23"/>
        <v>4198.4659383836806</v>
      </c>
      <c r="Z191" s="2">
        <f t="shared" si="24"/>
        <v>0</v>
      </c>
      <c r="AA191">
        <f t="shared" si="25"/>
        <v>4163.4580000000005</v>
      </c>
      <c r="AB191">
        <f t="shared" si="26"/>
        <v>3286.4</v>
      </c>
    </row>
  </sheetData>
  <sortState ref="A6:Z191">
    <sortCondition ref="X6:X191"/>
  </sortState>
  <mergeCells count="5">
    <mergeCell ref="AF14:AY14"/>
    <mergeCell ref="B2:Y2"/>
    <mergeCell ref="Z2:AB2"/>
    <mergeCell ref="AF1:AN1"/>
    <mergeCell ref="A1:AB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2014-10-03T14:40:43Z</dcterms:created>
  <dcterms:modified xsi:type="dcterms:W3CDTF">2014-10-16T16:05:32Z</dcterms:modified>
</cp:coreProperties>
</file>