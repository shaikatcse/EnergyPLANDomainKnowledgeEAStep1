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hbub\Documents\GitHub\EnergyPLANDomainKnowledgeEAStep1\CivisResults\CEDIS\4Objectives\With Elec Car Night Charging\"/>
    </mc:Choice>
  </mc:AlternateContent>
  <bookViews>
    <workbookView xWindow="0" yWindow="0" windowWidth="25200" windowHeight="11385" activeTab="1"/>
  </bookViews>
  <sheets>
    <sheet name="moead" sheetId="4" r:id="rId1"/>
    <sheet name="spea2" sheetId="5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4" i="5" l="1"/>
  <c r="AG207" i="4" l="1"/>
  <c r="AG208" i="4"/>
  <c r="AG209" i="4"/>
  <c r="AF207" i="4"/>
  <c r="AF208" i="4"/>
  <c r="AF209" i="4"/>
</calcChain>
</file>

<file path=xl/sharedStrings.xml><?xml version="1.0" encoding="utf-8"?>
<sst xmlns="http://schemas.openxmlformats.org/spreadsheetml/2006/main" count="93" uniqueCount="55">
  <si>
    <t>CO2-Emission</t>
  </si>
  <si>
    <t>AnnualCost</t>
  </si>
  <si>
    <t>KWe</t>
  </si>
  <si>
    <t>KWth</t>
  </si>
  <si>
    <t>GWh</t>
  </si>
  <si>
    <t>KEuro</t>
  </si>
  <si>
    <t>Mt</t>
  </si>
  <si>
    <t>PV</t>
  </si>
  <si>
    <t>NGas_CHP</t>
  </si>
  <si>
    <t>HP</t>
  </si>
  <si>
    <t>Oil_boiler</t>
  </si>
  <si>
    <t>Ngas_boiler</t>
  </si>
  <si>
    <t>Biomass_boiler</t>
  </si>
  <si>
    <t>Import</t>
  </si>
  <si>
    <t>Export</t>
  </si>
  <si>
    <t>Diesel</t>
  </si>
  <si>
    <t>Petrol</t>
  </si>
  <si>
    <t>Biomass</t>
  </si>
  <si>
    <t>Objectives</t>
  </si>
  <si>
    <t>ESD</t>
  </si>
  <si>
    <t>TotalElectricityExchangeCost</t>
  </si>
  <si>
    <t>AdditionalCost</t>
  </si>
  <si>
    <t>ElecCarInvestmentCost</t>
  </si>
  <si>
    <t>InvestmentCost</t>
  </si>
  <si>
    <t xml:space="preserve"> </t>
  </si>
  <si>
    <t>Petrol Cars</t>
  </si>
  <si>
    <t>Diesel Cars</t>
  </si>
  <si>
    <t>Electric Cars</t>
  </si>
  <si>
    <t>Transport</t>
  </si>
  <si>
    <t>Annual production</t>
  </si>
  <si>
    <t>mCHP</t>
  </si>
  <si>
    <t>Annual excess demand</t>
  </si>
  <si>
    <t>HP elec</t>
  </si>
  <si>
    <t>Elec Car</t>
  </si>
  <si>
    <t>Annual Heat Production</t>
  </si>
  <si>
    <t>Annual Import/Export</t>
  </si>
  <si>
    <t>Annual Fuel Consumption</t>
  </si>
  <si>
    <t>Oil</t>
  </si>
  <si>
    <t>Ngas</t>
  </si>
  <si>
    <t>Annual cost</t>
  </si>
  <si>
    <t>VariableCost</t>
  </si>
  <si>
    <t>O&amp;M</t>
  </si>
  <si>
    <t>LFC</t>
  </si>
  <si>
    <t>Oil Boiler</t>
  </si>
  <si>
    <t>Ngas Boiler</t>
  </si>
  <si>
    <t>Biomass Boiler</t>
  </si>
  <si>
    <t xml:space="preserve">mCHP </t>
  </si>
  <si>
    <t>AnnualmCHPheat</t>
  </si>
  <si>
    <t>AnnualHPheat</t>
  </si>
  <si>
    <t>oilBoilerFuelDemand</t>
  </si>
  <si>
    <t>ngasBoilerFuelDemand</t>
  </si>
  <si>
    <t>biomassBoilerFuelDemand</t>
  </si>
  <si>
    <t>reducedPetrolDemand</t>
  </si>
  <si>
    <t>reducedDieselDemand</t>
  </si>
  <si>
    <t>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</si>
</sst>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3A4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7C8F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85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2" fontId="0" fillId="0" borderId="0" xfId="0" applyNumberFormat="1"/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/>
    <xf numFmtId="0" fontId="0" fillId="0" borderId="0" xfId="0" applyBorder="1"/>
    <xf numFmtId="0" fontId="0" fillId="5" borderId="1" xfId="0" applyFill="1" applyBorder="1"/>
    <xf numFmtId="0" fontId="0" fillId="0" borderId="0" xfId="0" applyAlignment="1"/>
    <xf numFmtId="0" fontId="0" fillId="7" borderId="1" xfId="0" applyFill="1" applyBorder="1"/>
    <xf numFmtId="0" fontId="0" fillId="8" borderId="1" xfId="0" applyFill="1" applyBorder="1"/>
    <xf numFmtId="0" fontId="0" fillId="0" borderId="0" xfId="0" applyFill="1"/>
    <xf numFmtId="0" fontId="0" fillId="9" borderId="1" xfId="0" applyFill="1" applyBorder="1"/>
    <xf numFmtId="0" fontId="0" fillId="9" borderId="1" xfId="0" applyFill="1" applyBorder="1" applyAlignment="1">
      <alignment horizontal="center" vertical="center"/>
    </xf>
    <xf numFmtId="0" fontId="0" fillId="4" borderId="3" xfId="0" applyFill="1" applyBorder="1"/>
    <xf numFmtId="2" fontId="0" fillId="0" borderId="0" xfId="0" applyNumberFormat="1" applyFill="1"/>
    <xf numFmtId="1" fontId="0" fillId="0" borderId="0" xfId="0" applyNumberFormat="1" applyFill="1"/>
    <xf numFmtId="0" fontId="0" fillId="6" borderId="0" xfId="0" applyFill="1" applyBorder="1"/>
    <xf numFmtId="0" fontId="0" fillId="6" borderId="0" xfId="0" applyFill="1"/>
    <xf numFmtId="1" fontId="0" fillId="6" borderId="0" xfId="0" applyNumberFormat="1" applyFill="1"/>
    <xf numFmtId="0" fontId="0" fillId="6" borderId="0" xfId="0" applyFill="1" applyBorder="1" applyAlignment="1">
      <alignment horizontal="center" vertical="center"/>
    </xf>
    <xf numFmtId="11" fontId="0" fillId="0" borderId="0" xfId="0" applyNumberFormat="1"/>
    <xf numFmtId="0" fontId="0" fillId="4" borderId="2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0" fillId="3" borderId="2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8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5FFFF"/>
      <color rgb="FF008080"/>
      <color rgb="FFCC9900"/>
      <color rgb="FFE3A4F0"/>
      <color rgb="FF7C8FF0"/>
      <color rgb="FF166DEE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09"/>
  <sheetViews>
    <sheetView workbookViewId="0">
      <pane ySplit="5" topLeftCell="A6" activePane="bottomLeft" state="frozen"/>
      <selection pane="bottomLeft" activeCell="B24" sqref="A1:AO205"/>
    </sheetView>
  </sheetViews>
  <sheetFormatPr defaultRowHeight="15" x14ac:dyDescent="0.25"/>
  <cols>
    <col min="1" max="1" width="7.7109375" bestFit="1" customWidth="1"/>
    <col min="2" max="2" width="10.140625" bestFit="1" customWidth="1"/>
    <col min="3" max="3" width="6.42578125" customWidth="1"/>
    <col min="4" max="4" width="9.85546875" bestFit="1" customWidth="1"/>
    <col min="5" max="5" width="11.5703125" bestFit="1" customWidth="1"/>
    <col min="6" max="6" width="14.7109375" bestFit="1" customWidth="1"/>
    <col min="7" max="7" width="10.5703125" bestFit="1" customWidth="1"/>
    <col min="8" max="8" width="10.7109375" bestFit="1" customWidth="1"/>
    <col min="9" max="9" width="11.5703125" bestFit="1" customWidth="1"/>
    <col min="10" max="11" width="9" customWidth="1"/>
    <col min="12" max="12" width="10.42578125" customWidth="1"/>
    <col min="13" max="13" width="11.7109375" customWidth="1"/>
    <col min="14" max="14" width="9.28515625" bestFit="1" customWidth="1"/>
    <col min="15" max="15" width="11" bestFit="1" customWidth="1"/>
    <col min="16" max="16" width="14.140625" bestFit="1" customWidth="1"/>
    <col min="17" max="17" width="12.28515625" customWidth="1"/>
    <col min="18" max="18" width="9.85546875" customWidth="1"/>
    <col min="19" max="20" width="11.5703125" customWidth="1"/>
    <col min="21" max="21" width="9.42578125" customWidth="1"/>
    <col min="22" max="22" width="10.7109375" customWidth="1"/>
    <col min="23" max="23" width="10" customWidth="1"/>
    <col min="24" max="24" width="10.42578125" bestFit="1" customWidth="1"/>
    <col min="25" max="25" width="10.28515625" bestFit="1" customWidth="1"/>
    <col min="26" max="26" width="12.140625" bestFit="1" customWidth="1"/>
    <col min="27" max="27" width="26.85546875" bestFit="1" customWidth="1"/>
    <col min="28" max="28" width="13.28515625" bestFit="1" customWidth="1"/>
    <col min="29" max="29" width="11.140625" bestFit="1" customWidth="1"/>
    <col min="30" max="30" width="21.7109375" bestFit="1" customWidth="1"/>
    <col min="31" max="31" width="21.85546875" bestFit="1" customWidth="1"/>
    <col min="32" max="32" width="15.140625" bestFit="1" customWidth="1"/>
    <col min="33" max="33" width="13.28515625" bestFit="1" customWidth="1"/>
    <col min="34" max="34" width="11.140625" bestFit="1" customWidth="1"/>
    <col min="35" max="36" width="5" bestFit="1" customWidth="1"/>
  </cols>
  <sheetData>
    <row r="1" spans="1:38" x14ac:dyDescent="0.25">
      <c r="A1" s="24"/>
      <c r="B1" s="24"/>
      <c r="C1" s="24"/>
      <c r="D1" s="24"/>
      <c r="E1" s="24"/>
      <c r="F1" s="24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38" x14ac:dyDescent="0.25">
      <c r="A2" s="24"/>
      <c r="B2" s="24"/>
      <c r="C2" s="24"/>
      <c r="D2" s="24"/>
      <c r="E2" s="24"/>
      <c r="F2" s="24"/>
      <c r="G2" s="25"/>
      <c r="H2" s="25"/>
      <c r="I2" s="25"/>
      <c r="J2" s="26"/>
      <c r="K2" s="26"/>
      <c r="L2" s="27"/>
      <c r="M2" s="27"/>
      <c r="N2" s="28"/>
      <c r="O2" s="28"/>
      <c r="P2" s="28"/>
      <c r="Q2" s="28"/>
      <c r="R2" s="28"/>
      <c r="S2" s="29"/>
      <c r="T2" s="29"/>
      <c r="U2" s="21"/>
      <c r="V2" s="21"/>
      <c r="W2" s="21"/>
      <c r="X2" s="22"/>
      <c r="Y2" s="22"/>
      <c r="Z2" s="22"/>
      <c r="AA2" s="22"/>
      <c r="AB2" s="22"/>
      <c r="AC2" s="22"/>
      <c r="AD2" s="22"/>
      <c r="AE2" s="22"/>
      <c r="AF2" s="22"/>
      <c r="AG2" s="23"/>
      <c r="AH2" s="23"/>
      <c r="AI2" s="23"/>
      <c r="AJ2" s="23"/>
    </row>
    <row r="3" spans="1:38" x14ac:dyDescent="0.25">
      <c r="A3" s="2"/>
      <c r="B3" s="2"/>
      <c r="C3" s="2"/>
      <c r="D3" s="3"/>
      <c r="E3" s="3"/>
      <c r="F3" s="3"/>
      <c r="G3" s="6"/>
      <c r="H3" s="6"/>
      <c r="I3" s="6"/>
      <c r="J3" s="2"/>
      <c r="K3" s="2"/>
      <c r="L3" s="8"/>
      <c r="M3" s="8"/>
      <c r="N3" s="4"/>
      <c r="O3" s="4"/>
      <c r="P3" s="4"/>
      <c r="Q3" s="4"/>
      <c r="R3" s="4"/>
      <c r="S3" s="9"/>
      <c r="T3" s="9"/>
      <c r="U3" s="3"/>
      <c r="V3" s="3"/>
      <c r="W3" s="13"/>
      <c r="X3" s="11"/>
      <c r="Y3" s="11"/>
      <c r="Z3" s="11"/>
      <c r="AA3" s="11"/>
      <c r="AB3" s="11"/>
      <c r="AC3" s="11"/>
      <c r="AD3" s="12"/>
      <c r="AE3" s="12"/>
      <c r="AF3" s="11"/>
      <c r="AG3" s="2"/>
      <c r="AH3" s="2"/>
      <c r="AI3" s="2"/>
      <c r="AJ3" s="2"/>
    </row>
    <row r="4" spans="1:38" x14ac:dyDescent="0.25">
      <c r="A4" s="2"/>
      <c r="B4" s="2"/>
      <c r="C4" s="2"/>
      <c r="D4" s="3"/>
      <c r="E4" s="3"/>
      <c r="F4" s="3"/>
      <c r="G4" s="6"/>
      <c r="H4" s="6"/>
      <c r="I4" s="6"/>
      <c r="J4" s="2"/>
      <c r="K4" s="2"/>
      <c r="L4" s="8"/>
      <c r="M4" s="8"/>
      <c r="N4" s="4"/>
      <c r="O4" s="4"/>
      <c r="P4" s="4"/>
      <c r="Q4" s="4"/>
      <c r="R4" s="4"/>
      <c r="S4" s="9"/>
      <c r="T4" s="9"/>
      <c r="U4" s="3"/>
      <c r="V4" s="3"/>
      <c r="W4" s="13"/>
      <c r="X4" s="11"/>
      <c r="Y4" s="11"/>
      <c r="Z4" s="11"/>
      <c r="AA4" s="11"/>
      <c r="AB4" s="11"/>
      <c r="AC4" s="11"/>
      <c r="AD4" s="12"/>
      <c r="AE4" s="12"/>
      <c r="AF4" s="11"/>
      <c r="AG4" s="2"/>
      <c r="AH4" s="2"/>
      <c r="AI4" s="2"/>
      <c r="AJ4" s="2"/>
    </row>
    <row r="5" spans="1:38" x14ac:dyDescent="0.2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7"/>
      <c r="V5" s="17"/>
      <c r="W5" s="17"/>
      <c r="X5" s="17"/>
      <c r="Y5" s="17"/>
      <c r="Z5" s="17"/>
      <c r="AA5" s="17"/>
      <c r="AB5" s="17"/>
      <c r="AC5" s="17"/>
      <c r="AD5" s="18"/>
      <c r="AE5" s="19"/>
      <c r="AF5" s="16"/>
      <c r="AG5" s="16"/>
      <c r="AH5" s="16"/>
      <c r="AI5" s="16"/>
      <c r="AJ5" s="16"/>
    </row>
    <row r="7" spans="1:38" x14ac:dyDescent="0.25">
      <c r="AL7" s="20"/>
    </row>
    <row r="8" spans="1:38" x14ac:dyDescent="0.25">
      <c r="AE8" s="1"/>
      <c r="AF8" s="14"/>
    </row>
    <row r="9" spans="1:38" x14ac:dyDescent="0.25">
      <c r="AK9" s="20"/>
    </row>
    <row r="10" spans="1:38" x14ac:dyDescent="0.25">
      <c r="AE10" s="1"/>
    </row>
    <row r="11" spans="1:38" x14ac:dyDescent="0.25">
      <c r="AK11" s="20"/>
    </row>
    <row r="13" spans="1:38" x14ac:dyDescent="0.25">
      <c r="AL13" s="20"/>
    </row>
    <row r="14" spans="1:38" x14ac:dyDescent="0.25">
      <c r="AE14" s="1"/>
    </row>
    <row r="16" spans="1:38" x14ac:dyDescent="0.25">
      <c r="AE16" s="1"/>
    </row>
    <row r="17" spans="31:38" x14ac:dyDescent="0.25">
      <c r="AE17" s="1"/>
      <c r="AF17" s="14"/>
    </row>
    <row r="18" spans="31:38" x14ac:dyDescent="0.25">
      <c r="AE18" s="1"/>
      <c r="AF18" s="14"/>
    </row>
    <row r="20" spans="31:38" x14ac:dyDescent="0.25">
      <c r="AE20" s="1"/>
    </row>
    <row r="21" spans="31:38" x14ac:dyDescent="0.25">
      <c r="AE21" s="1"/>
    </row>
    <row r="22" spans="31:38" x14ac:dyDescent="0.25">
      <c r="AE22" s="1"/>
    </row>
    <row r="23" spans="31:38" x14ac:dyDescent="0.25">
      <c r="AE23" s="1"/>
    </row>
    <row r="24" spans="31:38" x14ac:dyDescent="0.25">
      <c r="AE24" s="1"/>
      <c r="AF24" s="14"/>
      <c r="AL24" s="20"/>
    </row>
    <row r="25" spans="31:38" x14ac:dyDescent="0.25">
      <c r="AE25" s="1"/>
    </row>
    <row r="26" spans="31:38" x14ac:dyDescent="0.25">
      <c r="AE26" s="1"/>
    </row>
    <row r="27" spans="31:38" x14ac:dyDescent="0.25">
      <c r="AE27" s="1"/>
    </row>
    <row r="28" spans="31:38" x14ac:dyDescent="0.25">
      <c r="AE28" s="1"/>
    </row>
    <row r="30" spans="31:38" x14ac:dyDescent="0.25">
      <c r="AE30" s="1"/>
    </row>
    <row r="31" spans="31:38" x14ac:dyDescent="0.25">
      <c r="AE31" s="1"/>
      <c r="AF31" s="14"/>
      <c r="AK31" s="20"/>
    </row>
    <row r="33" spans="31:37" x14ac:dyDescent="0.25">
      <c r="AE33" s="1"/>
    </row>
    <row r="34" spans="31:37" x14ac:dyDescent="0.25">
      <c r="AE34" s="1"/>
    </row>
    <row r="35" spans="31:37" x14ac:dyDescent="0.25">
      <c r="AE35" s="1"/>
      <c r="AK35" s="20"/>
    </row>
    <row r="37" spans="31:37" x14ac:dyDescent="0.25">
      <c r="AE37" s="1"/>
      <c r="AF37" s="14"/>
    </row>
    <row r="38" spans="31:37" x14ac:dyDescent="0.25">
      <c r="AE38" s="1"/>
    </row>
    <row r="39" spans="31:37" x14ac:dyDescent="0.25">
      <c r="AE39" s="1"/>
      <c r="AK39" s="20"/>
    </row>
    <row r="40" spans="31:37" x14ac:dyDescent="0.25">
      <c r="AE40" s="1"/>
    </row>
    <row r="41" spans="31:37" x14ac:dyDescent="0.25">
      <c r="AE41" s="1"/>
    </row>
    <row r="42" spans="31:37" x14ac:dyDescent="0.25">
      <c r="AE42" s="1"/>
    </row>
    <row r="43" spans="31:37" x14ac:dyDescent="0.25">
      <c r="AE43" s="1"/>
    </row>
    <row r="44" spans="31:37" x14ac:dyDescent="0.25">
      <c r="AE44" s="1"/>
      <c r="AF44" s="14"/>
      <c r="AK44" s="20"/>
    </row>
    <row r="45" spans="31:37" x14ac:dyDescent="0.25">
      <c r="AE45" s="1"/>
    </row>
    <row r="46" spans="31:37" x14ac:dyDescent="0.25">
      <c r="AE46" s="1"/>
    </row>
    <row r="48" spans="31:37" x14ac:dyDescent="0.25">
      <c r="AE48" s="1"/>
    </row>
    <row r="49" spans="31:38" x14ac:dyDescent="0.25">
      <c r="AE49" s="1"/>
      <c r="AF49" s="14"/>
      <c r="AL49" s="20"/>
    </row>
    <row r="50" spans="31:38" x14ac:dyDescent="0.25">
      <c r="AE50" s="1"/>
      <c r="AF50" s="14"/>
    </row>
    <row r="51" spans="31:38" x14ac:dyDescent="0.25">
      <c r="AE51" s="1"/>
      <c r="AF51" s="14"/>
      <c r="AK51" s="20"/>
    </row>
    <row r="52" spans="31:38" x14ac:dyDescent="0.25">
      <c r="AE52" s="1"/>
      <c r="AF52" s="14"/>
    </row>
    <row r="53" spans="31:38" x14ac:dyDescent="0.25">
      <c r="AE53" s="1"/>
      <c r="AK53" s="20"/>
    </row>
    <row r="54" spans="31:38" x14ac:dyDescent="0.25">
      <c r="AE54" s="1"/>
      <c r="AF54" s="14"/>
    </row>
    <row r="55" spans="31:38" x14ac:dyDescent="0.25">
      <c r="AE55" s="1"/>
    </row>
    <row r="56" spans="31:38" x14ac:dyDescent="0.25">
      <c r="AE56" s="1"/>
      <c r="AK56" s="20"/>
    </row>
    <row r="57" spans="31:38" x14ac:dyDescent="0.25">
      <c r="AE57" s="1"/>
    </row>
    <row r="59" spans="31:38" x14ac:dyDescent="0.25">
      <c r="AE59" s="1"/>
    </row>
    <row r="60" spans="31:38" x14ac:dyDescent="0.25">
      <c r="AE60" s="1"/>
    </row>
    <row r="61" spans="31:38" x14ac:dyDescent="0.25">
      <c r="AK61" s="20"/>
    </row>
    <row r="62" spans="31:38" x14ac:dyDescent="0.25">
      <c r="AE62" s="1"/>
    </row>
    <row r="63" spans="31:38" x14ac:dyDescent="0.25">
      <c r="AE63" s="1"/>
      <c r="AK63" s="20"/>
    </row>
    <row r="64" spans="31:38" x14ac:dyDescent="0.25">
      <c r="AE64" s="1"/>
    </row>
    <row r="65" spans="31:38" x14ac:dyDescent="0.25">
      <c r="AE65" s="1"/>
      <c r="AF65" s="14"/>
      <c r="AL65" s="20"/>
    </row>
    <row r="66" spans="31:38" x14ac:dyDescent="0.25">
      <c r="AE66" s="1"/>
      <c r="AK66" s="20"/>
    </row>
    <row r="67" spans="31:38" x14ac:dyDescent="0.25">
      <c r="AE67" s="1"/>
      <c r="AF67" s="14"/>
      <c r="AK67" s="20"/>
    </row>
    <row r="68" spans="31:38" x14ac:dyDescent="0.25">
      <c r="AE68" s="1"/>
    </row>
    <row r="69" spans="31:38" x14ac:dyDescent="0.25">
      <c r="AE69" s="1"/>
      <c r="AK69" s="20"/>
    </row>
    <row r="70" spans="31:38" x14ac:dyDescent="0.25">
      <c r="AE70" s="1"/>
    </row>
    <row r="71" spans="31:38" x14ac:dyDescent="0.25">
      <c r="AE71" s="1"/>
      <c r="AF71" s="14"/>
    </row>
    <row r="72" spans="31:38" x14ac:dyDescent="0.25">
      <c r="AE72" s="1"/>
      <c r="AL72" s="20"/>
    </row>
    <row r="73" spans="31:38" x14ac:dyDescent="0.25">
      <c r="AE73" s="1"/>
    </row>
    <row r="76" spans="31:38" x14ac:dyDescent="0.25">
      <c r="AE76" s="1"/>
    </row>
    <row r="77" spans="31:38" x14ac:dyDescent="0.25">
      <c r="AE77" s="1"/>
    </row>
    <row r="79" spans="31:38" x14ac:dyDescent="0.25">
      <c r="AE79" s="1"/>
    </row>
    <row r="80" spans="31:38" x14ac:dyDescent="0.25">
      <c r="AE80" s="1"/>
    </row>
    <row r="81" spans="31:38" x14ac:dyDescent="0.25">
      <c r="AE81" s="1"/>
    </row>
    <row r="82" spans="31:38" x14ac:dyDescent="0.25">
      <c r="AE82" s="1"/>
    </row>
    <row r="83" spans="31:38" x14ac:dyDescent="0.25">
      <c r="AE83" s="1"/>
      <c r="AF83" s="14"/>
    </row>
    <row r="85" spans="31:38" x14ac:dyDescent="0.25">
      <c r="AE85" s="1"/>
      <c r="AL85" s="20"/>
    </row>
    <row r="86" spans="31:38" x14ac:dyDescent="0.25">
      <c r="AE86" s="1"/>
    </row>
    <row r="87" spans="31:38" x14ac:dyDescent="0.25">
      <c r="AE87" s="1"/>
    </row>
    <row r="88" spans="31:38" x14ac:dyDescent="0.25">
      <c r="AE88" s="1"/>
    </row>
    <row r="89" spans="31:38" x14ac:dyDescent="0.25">
      <c r="AE89" s="1"/>
    </row>
    <row r="90" spans="31:38" x14ac:dyDescent="0.25">
      <c r="AE90" s="1"/>
      <c r="AK90" s="20"/>
    </row>
    <row r="91" spans="31:38" x14ac:dyDescent="0.25">
      <c r="AE91" s="1"/>
      <c r="AF91" s="14"/>
    </row>
    <row r="92" spans="31:38" x14ac:dyDescent="0.25">
      <c r="AE92" s="1"/>
      <c r="AL92" s="20"/>
    </row>
    <row r="93" spans="31:38" x14ac:dyDescent="0.25">
      <c r="AE93" s="1"/>
      <c r="AK93" s="20"/>
    </row>
    <row r="94" spans="31:38" x14ac:dyDescent="0.25">
      <c r="AE94" s="1"/>
      <c r="AF94" s="14"/>
    </row>
    <row r="95" spans="31:38" x14ac:dyDescent="0.25">
      <c r="AE95" s="1"/>
      <c r="AF95" s="14"/>
    </row>
    <row r="96" spans="31:38" x14ac:dyDescent="0.25">
      <c r="AE96" s="1"/>
    </row>
    <row r="97" spans="31:38" x14ac:dyDescent="0.25">
      <c r="AE97" s="1"/>
    </row>
    <row r="98" spans="31:38" x14ac:dyDescent="0.25">
      <c r="AE98" s="1"/>
      <c r="AK98" s="20"/>
    </row>
    <row r="99" spans="31:38" x14ac:dyDescent="0.25">
      <c r="AE99" s="1"/>
    </row>
    <row r="100" spans="31:38" x14ac:dyDescent="0.25">
      <c r="AE100" s="1"/>
      <c r="AK100" s="20"/>
    </row>
    <row r="101" spans="31:38" x14ac:dyDescent="0.25">
      <c r="AE101" s="1"/>
      <c r="AL101" s="20"/>
    </row>
    <row r="102" spans="31:38" x14ac:dyDescent="0.25">
      <c r="AE102" s="1"/>
    </row>
    <row r="103" spans="31:38" x14ac:dyDescent="0.25">
      <c r="AE103" s="1"/>
    </row>
    <row r="104" spans="31:38" x14ac:dyDescent="0.25">
      <c r="AE104" s="1"/>
      <c r="AF104" s="14"/>
    </row>
    <row r="105" spans="31:38" x14ac:dyDescent="0.25">
      <c r="AE105" s="1"/>
    </row>
    <row r="106" spans="31:38" x14ac:dyDescent="0.25">
      <c r="AE106" s="1"/>
    </row>
    <row r="107" spans="31:38" x14ac:dyDescent="0.25">
      <c r="AE107" s="1"/>
    </row>
    <row r="108" spans="31:38" x14ac:dyDescent="0.25">
      <c r="AE108" s="1"/>
    </row>
    <row r="109" spans="31:38" x14ac:dyDescent="0.25">
      <c r="AE109" s="1"/>
      <c r="AK109" s="20"/>
    </row>
    <row r="111" spans="31:38" x14ac:dyDescent="0.25">
      <c r="AE111" s="1"/>
    </row>
    <row r="114" spans="31:38" x14ac:dyDescent="0.25">
      <c r="AE114" s="1"/>
    </row>
    <row r="115" spans="31:38" x14ac:dyDescent="0.25">
      <c r="AE115" s="1"/>
    </row>
    <row r="116" spans="31:38" x14ac:dyDescent="0.25">
      <c r="AE116" s="1"/>
      <c r="AL116" s="20"/>
    </row>
    <row r="119" spans="31:38" x14ac:dyDescent="0.25">
      <c r="AE119" s="1"/>
    </row>
    <row r="120" spans="31:38" x14ac:dyDescent="0.25">
      <c r="AE120" s="1"/>
      <c r="AL120" s="20"/>
    </row>
    <row r="121" spans="31:38" x14ac:dyDescent="0.25">
      <c r="AE121" s="1"/>
    </row>
    <row r="122" spans="31:38" x14ac:dyDescent="0.25">
      <c r="AK122" s="20"/>
    </row>
    <row r="123" spans="31:38" x14ac:dyDescent="0.25">
      <c r="AE123" s="1"/>
      <c r="AF123" s="14"/>
    </row>
    <row r="124" spans="31:38" x14ac:dyDescent="0.25">
      <c r="AE124" s="1"/>
      <c r="AK124" s="20"/>
    </row>
    <row r="125" spans="31:38" x14ac:dyDescent="0.25">
      <c r="AE125" s="1"/>
    </row>
    <row r="126" spans="31:38" x14ac:dyDescent="0.25">
      <c r="AE126" s="1"/>
      <c r="AF126" s="14"/>
    </row>
    <row r="127" spans="31:38" x14ac:dyDescent="0.25">
      <c r="AK127" s="20"/>
    </row>
    <row r="128" spans="31:38" x14ac:dyDescent="0.25">
      <c r="AE128" s="1"/>
    </row>
    <row r="129" spans="31:38" x14ac:dyDescent="0.25">
      <c r="AE129" s="1"/>
      <c r="AF129" s="14"/>
    </row>
    <row r="130" spans="31:38" x14ac:dyDescent="0.25">
      <c r="AE130" s="1"/>
    </row>
    <row r="131" spans="31:38" x14ac:dyDescent="0.25">
      <c r="AE131" s="1"/>
    </row>
    <row r="132" spans="31:38" x14ac:dyDescent="0.25">
      <c r="AE132" s="1"/>
      <c r="AF132" s="14"/>
    </row>
    <row r="133" spans="31:38" x14ac:dyDescent="0.25">
      <c r="AE133" s="1"/>
    </row>
    <row r="135" spans="31:38" x14ac:dyDescent="0.25">
      <c r="AE135" s="1"/>
      <c r="AK135" s="20"/>
    </row>
    <row r="136" spans="31:38" x14ac:dyDescent="0.25">
      <c r="AE136" s="1"/>
      <c r="AL136" s="20"/>
    </row>
    <row r="137" spans="31:38" x14ac:dyDescent="0.25">
      <c r="AE137" s="1"/>
    </row>
    <row r="139" spans="31:38" x14ac:dyDescent="0.25">
      <c r="AE139" s="1"/>
    </row>
    <row r="140" spans="31:38" x14ac:dyDescent="0.25">
      <c r="AE140" s="1"/>
    </row>
    <row r="141" spans="31:38" x14ac:dyDescent="0.25">
      <c r="AE141" s="1"/>
    </row>
    <row r="142" spans="31:38" x14ac:dyDescent="0.25">
      <c r="AE142" s="1"/>
    </row>
    <row r="143" spans="31:38" x14ac:dyDescent="0.25">
      <c r="AE143" s="1"/>
    </row>
    <row r="144" spans="31:38" x14ac:dyDescent="0.25">
      <c r="AE144" s="1"/>
    </row>
    <row r="145" spans="1:38" x14ac:dyDescent="0.25">
      <c r="AE145" s="1"/>
    </row>
    <row r="146" spans="1:38" x14ac:dyDescent="0.25">
      <c r="AL146" s="20"/>
    </row>
    <row r="147" spans="1:38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5"/>
      <c r="AA147" s="10"/>
      <c r="AB147" s="10"/>
      <c r="AC147" s="15"/>
      <c r="AD147" s="14"/>
      <c r="AE147" s="14"/>
      <c r="AF147" s="10"/>
      <c r="AG147" s="10"/>
      <c r="AH147" s="10"/>
      <c r="AI147" s="10"/>
      <c r="AJ147" s="10"/>
    </row>
    <row r="148" spans="1:38" x14ac:dyDescent="0.25">
      <c r="AE148" s="1"/>
      <c r="AF148" s="14"/>
    </row>
    <row r="149" spans="1:38" x14ac:dyDescent="0.25">
      <c r="AE149" s="1"/>
      <c r="AF149" s="14"/>
      <c r="AL149" s="20"/>
    </row>
    <row r="150" spans="1:38" x14ac:dyDescent="0.25">
      <c r="AE150" s="1"/>
      <c r="AF150" s="14"/>
    </row>
    <row r="152" spans="1:38" x14ac:dyDescent="0.25">
      <c r="AE152" s="1"/>
    </row>
    <row r="153" spans="1:38" x14ac:dyDescent="0.25">
      <c r="AE153" s="1"/>
    </row>
    <row r="154" spans="1:38" x14ac:dyDescent="0.25">
      <c r="AE154" s="1"/>
      <c r="AF154" s="14"/>
    </row>
    <row r="155" spans="1:38" x14ac:dyDescent="0.25">
      <c r="AE155" s="1"/>
    </row>
    <row r="156" spans="1:38" x14ac:dyDescent="0.25">
      <c r="AE156" s="1"/>
    </row>
    <row r="157" spans="1:38" x14ac:dyDescent="0.25">
      <c r="AE157" s="1"/>
    </row>
    <row r="158" spans="1:38" x14ac:dyDescent="0.25">
      <c r="AE158" s="1"/>
      <c r="AF158" s="14"/>
      <c r="AK158" s="20"/>
    </row>
    <row r="159" spans="1:38" x14ac:dyDescent="0.25">
      <c r="AE159" s="1"/>
      <c r="AF159" s="14"/>
    </row>
    <row r="160" spans="1:38" x14ac:dyDescent="0.25">
      <c r="AE160" s="1"/>
    </row>
    <row r="162" spans="28:38" x14ac:dyDescent="0.25">
      <c r="AE162" s="1"/>
    </row>
    <row r="163" spans="28:38" x14ac:dyDescent="0.25">
      <c r="AE163" s="1"/>
      <c r="AF163" s="14"/>
    </row>
    <row r="164" spans="28:38" x14ac:dyDescent="0.25">
      <c r="AE164" s="1"/>
    </row>
    <row r="165" spans="28:38" x14ac:dyDescent="0.25">
      <c r="AE165" s="1"/>
    </row>
    <row r="166" spans="28:38" x14ac:dyDescent="0.25">
      <c r="AE166" s="1"/>
      <c r="AF166" s="14"/>
    </row>
    <row r="167" spans="28:38" x14ac:dyDescent="0.25">
      <c r="AE167" s="1"/>
      <c r="AL167" s="20"/>
    </row>
    <row r="168" spans="28:38" x14ac:dyDescent="0.25">
      <c r="AB168" s="5"/>
      <c r="AC168" s="5"/>
      <c r="AD168" s="5"/>
      <c r="AE168" s="1"/>
      <c r="AL168" s="20"/>
    </row>
    <row r="169" spans="28:38" x14ac:dyDescent="0.25">
      <c r="AE169" s="1"/>
      <c r="AL169" s="20"/>
    </row>
    <row r="170" spans="28:38" x14ac:dyDescent="0.25">
      <c r="AE170" s="1"/>
      <c r="AF170" s="14"/>
    </row>
    <row r="171" spans="28:38" x14ac:dyDescent="0.25">
      <c r="AE171" s="1"/>
      <c r="AK171" s="20"/>
    </row>
    <row r="172" spans="28:38" x14ac:dyDescent="0.25">
      <c r="AE172" s="1"/>
    </row>
    <row r="173" spans="28:38" x14ac:dyDescent="0.25">
      <c r="AE173" s="1"/>
    </row>
    <row r="174" spans="28:38" x14ac:dyDescent="0.25">
      <c r="AE174" s="1"/>
    </row>
    <row r="175" spans="28:38" x14ac:dyDescent="0.25">
      <c r="AE175" s="1"/>
      <c r="AL175" s="20"/>
    </row>
    <row r="176" spans="28:38" x14ac:dyDescent="0.25">
      <c r="AK176" s="20"/>
    </row>
    <row r="178" spans="31:38" x14ac:dyDescent="0.25">
      <c r="AE178" s="1"/>
      <c r="AK178" s="20"/>
    </row>
    <row r="179" spans="31:38" x14ac:dyDescent="0.25">
      <c r="AK179" s="20"/>
    </row>
    <row r="180" spans="31:38" x14ac:dyDescent="0.25">
      <c r="AE180" s="1"/>
    </row>
    <row r="181" spans="31:38" x14ac:dyDescent="0.25">
      <c r="AE181" s="1"/>
    </row>
    <row r="182" spans="31:38" x14ac:dyDescent="0.25">
      <c r="AE182" s="1"/>
      <c r="AK182" s="20"/>
    </row>
    <row r="183" spans="31:38" x14ac:dyDescent="0.25">
      <c r="AE183" s="1"/>
    </row>
    <row r="184" spans="31:38" x14ac:dyDescent="0.25">
      <c r="AE184" s="1"/>
    </row>
    <row r="186" spans="31:38" x14ac:dyDescent="0.25">
      <c r="AK186" s="20"/>
    </row>
    <row r="187" spans="31:38" x14ac:dyDescent="0.25">
      <c r="AE187" s="1"/>
      <c r="AL187" s="20"/>
    </row>
    <row r="188" spans="31:38" x14ac:dyDescent="0.25">
      <c r="AE188" s="1"/>
    </row>
    <row r="190" spans="31:38" x14ac:dyDescent="0.25">
      <c r="AE190" s="1"/>
    </row>
    <row r="191" spans="31:38" x14ac:dyDescent="0.25">
      <c r="AE191" s="1"/>
    </row>
    <row r="192" spans="31:38" x14ac:dyDescent="0.25">
      <c r="AE192" s="1"/>
      <c r="AF192" s="14"/>
    </row>
    <row r="193" spans="31:38" x14ac:dyDescent="0.25">
      <c r="AE193" s="1"/>
    </row>
    <row r="194" spans="31:38" x14ac:dyDescent="0.25">
      <c r="AE194" s="1"/>
      <c r="AF194" s="14"/>
    </row>
    <row r="195" spans="31:38" x14ac:dyDescent="0.25">
      <c r="AE195" s="1"/>
      <c r="AF195" s="14"/>
    </row>
    <row r="196" spans="31:38" x14ac:dyDescent="0.25">
      <c r="AE196" s="1"/>
    </row>
    <row r="197" spans="31:38" x14ac:dyDescent="0.25">
      <c r="AE197" s="1"/>
      <c r="AF197" s="14"/>
    </row>
    <row r="198" spans="31:38" x14ac:dyDescent="0.25">
      <c r="AE198" s="1"/>
      <c r="AF198" s="14"/>
    </row>
    <row r="200" spans="31:38" x14ac:dyDescent="0.25">
      <c r="AE200" s="1"/>
      <c r="AL200" s="20"/>
    </row>
    <row r="201" spans="31:38" x14ac:dyDescent="0.25">
      <c r="AE201" s="1"/>
      <c r="AK201" s="20"/>
    </row>
    <row r="202" spans="31:38" x14ac:dyDescent="0.25">
      <c r="AE202" s="1"/>
    </row>
    <row r="205" spans="31:38" x14ac:dyDescent="0.25">
      <c r="AE205" s="1"/>
    </row>
    <row r="207" spans="31:38" x14ac:dyDescent="0.25">
      <c r="AF207">
        <f t="shared" ref="AF207:AF209" si="0">IF(H207&lt;P207,-1,1)</f>
        <v>1</v>
      </c>
      <c r="AG207">
        <f t="shared" ref="AG207:AG209" si="1">G207+17.95+H207+O207-P207-I207</f>
        <v>17.95</v>
      </c>
    </row>
    <row r="208" spans="31:38" x14ac:dyDescent="0.25">
      <c r="AF208">
        <f t="shared" si="0"/>
        <v>1</v>
      </c>
      <c r="AG208">
        <f t="shared" si="1"/>
        <v>17.95</v>
      </c>
    </row>
    <row r="209" spans="32:33" x14ac:dyDescent="0.25">
      <c r="AF209">
        <f t="shared" si="0"/>
        <v>1</v>
      </c>
      <c r="AG209">
        <f t="shared" si="1"/>
        <v>17.95</v>
      </c>
    </row>
  </sheetData>
  <sortState ref="A6:AJ205">
    <sortCondition ref="AH6:AH205"/>
  </sortState>
  <mergeCells count="9">
    <mergeCell ref="U2:W2"/>
    <mergeCell ref="X2:AF2"/>
    <mergeCell ref="AG2:AJ2"/>
    <mergeCell ref="A1:F2"/>
    <mergeCell ref="G2:I2"/>
    <mergeCell ref="J2:K2"/>
    <mergeCell ref="L2:M2"/>
    <mergeCell ref="N2:R2"/>
    <mergeCell ref="S2:T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04"/>
  <sheetViews>
    <sheetView tabSelected="1" topLeftCell="Q1" workbookViewId="0">
      <pane ySplit="4" topLeftCell="A5" activePane="bottomLeft" state="frozen"/>
      <selection pane="bottomLeft" activeCell="AG5" sqref="AG5"/>
    </sheetView>
  </sheetViews>
  <sheetFormatPr defaultRowHeight="15" x14ac:dyDescent="0.25"/>
  <cols>
    <col min="2" max="2" width="10.140625" bestFit="1" customWidth="1"/>
    <col min="3" max="3" width="5.140625" bestFit="1" customWidth="1"/>
    <col min="4" max="4" width="9.85546875" bestFit="1" customWidth="1"/>
    <col min="5" max="5" width="11.5703125" bestFit="1" customWidth="1"/>
    <col min="6" max="6" width="14.7109375" bestFit="1" customWidth="1"/>
    <col min="7" max="7" width="10.5703125" bestFit="1" customWidth="1"/>
    <col min="8" max="8" width="10.7109375" bestFit="1" customWidth="1"/>
    <col min="9" max="9" width="11.5703125" bestFit="1" customWidth="1"/>
    <col min="10" max="10" width="9.28515625" customWidth="1"/>
    <col min="11" max="11" width="11.140625" customWidth="1"/>
    <col min="12" max="12" width="12.140625" customWidth="1"/>
    <col min="13" max="13" width="13.42578125" customWidth="1"/>
    <col min="14" max="14" width="9.28515625" bestFit="1" customWidth="1"/>
    <col min="15" max="15" width="11" bestFit="1" customWidth="1"/>
    <col min="16" max="16" width="14.140625" bestFit="1" customWidth="1"/>
    <col min="17" max="17" width="6.7109375" bestFit="1" customWidth="1"/>
    <col min="18" max="18" width="6" bestFit="1" customWidth="1"/>
    <col min="19" max="19" width="11" customWidth="1"/>
    <col min="20" max="20" width="11.85546875" customWidth="1"/>
    <col min="21" max="21" width="7.42578125" customWidth="1"/>
    <col min="22" max="22" width="10.28515625" customWidth="1"/>
    <col min="23" max="23" width="9.42578125" customWidth="1"/>
    <col min="24" max="24" width="6.5703125" bestFit="1" customWidth="1"/>
    <col min="25" max="25" width="6.42578125" bestFit="1" customWidth="1"/>
    <col min="26" max="26" width="8.28515625" bestFit="1" customWidth="1"/>
    <col min="27" max="27" width="18.7109375" customWidth="1"/>
    <col min="28" max="28" width="12.28515625" bestFit="1" customWidth="1"/>
    <col min="29" max="29" width="6.140625" bestFit="1" customWidth="1"/>
    <col min="30" max="30" width="14.28515625" bestFit="1" customWidth="1"/>
    <col min="31" max="31" width="21.85546875" bestFit="1" customWidth="1"/>
    <col min="32" max="32" width="15.140625" bestFit="1" customWidth="1"/>
    <col min="33" max="33" width="13.28515625" bestFit="1" customWidth="1"/>
    <col min="34" max="34" width="11.140625" bestFit="1" customWidth="1"/>
    <col min="35" max="35" width="6.85546875" customWidth="1"/>
    <col min="36" max="36" width="7.28515625" customWidth="1"/>
    <col min="37" max="39" width="9.140625" hidden="1" customWidth="1"/>
    <col min="40" max="40" width="16.7109375" hidden="1" customWidth="1"/>
    <col min="41" max="41" width="13.85546875" hidden="1" customWidth="1"/>
    <col min="42" max="42" width="21.5703125" hidden="1" customWidth="1"/>
    <col min="43" max="43" width="21.7109375" hidden="1" customWidth="1"/>
  </cols>
  <sheetData>
    <row r="1" spans="1:43" x14ac:dyDescent="0.25">
      <c r="A1" s="24" t="s">
        <v>54</v>
      </c>
      <c r="B1" s="24"/>
      <c r="C1" s="24"/>
      <c r="D1" s="24"/>
      <c r="E1" s="24"/>
      <c r="F1" s="24"/>
      <c r="G1" s="25" t="s">
        <v>28</v>
      </c>
      <c r="H1" s="25"/>
      <c r="I1" s="25"/>
      <c r="J1" s="26" t="s">
        <v>29</v>
      </c>
      <c r="K1" s="26"/>
      <c r="L1" s="27" t="s">
        <v>31</v>
      </c>
      <c r="M1" s="27"/>
      <c r="N1" s="28" t="s">
        <v>34</v>
      </c>
      <c r="O1" s="28"/>
      <c r="P1" s="28"/>
      <c r="Q1" s="28"/>
      <c r="R1" s="28"/>
      <c r="S1" s="29" t="s">
        <v>35</v>
      </c>
      <c r="T1" s="29"/>
      <c r="U1" s="21" t="s">
        <v>36</v>
      </c>
      <c r="V1" s="21"/>
      <c r="W1" s="21"/>
      <c r="X1" s="22" t="s">
        <v>39</v>
      </c>
      <c r="Y1" s="22"/>
      <c r="Z1" s="22"/>
      <c r="AA1" s="22"/>
      <c r="AB1" s="22"/>
      <c r="AC1" s="22"/>
      <c r="AD1" s="22"/>
      <c r="AE1" s="22"/>
      <c r="AF1" s="22"/>
      <c r="AG1" s="23" t="s">
        <v>18</v>
      </c>
      <c r="AH1" s="23"/>
      <c r="AI1" s="23"/>
      <c r="AJ1" s="23"/>
      <c r="AK1" t="s">
        <v>49</v>
      </c>
      <c r="AL1" t="s">
        <v>50</v>
      </c>
      <c r="AM1" t="s">
        <v>51</v>
      </c>
      <c r="AN1" t="s">
        <v>47</v>
      </c>
      <c r="AO1" t="s">
        <v>48</v>
      </c>
      <c r="AP1" t="s">
        <v>52</v>
      </c>
      <c r="AQ1" t="s">
        <v>53</v>
      </c>
    </row>
    <row r="2" spans="1:43" x14ac:dyDescent="0.25">
      <c r="A2" s="2" t="s">
        <v>7</v>
      </c>
      <c r="B2" s="2" t="s">
        <v>8</v>
      </c>
      <c r="C2" s="2" t="s">
        <v>9</v>
      </c>
      <c r="D2" s="3" t="s">
        <v>10</v>
      </c>
      <c r="E2" s="3" t="s">
        <v>11</v>
      </c>
      <c r="F2" s="3" t="s">
        <v>12</v>
      </c>
      <c r="G2" s="6" t="s">
        <v>25</v>
      </c>
      <c r="H2" s="6" t="s">
        <v>26</v>
      </c>
      <c r="I2" s="6" t="s">
        <v>27</v>
      </c>
      <c r="J2" s="2" t="s">
        <v>7</v>
      </c>
      <c r="K2" s="2" t="s">
        <v>30</v>
      </c>
      <c r="L2" s="8" t="s">
        <v>32</v>
      </c>
      <c r="M2" s="8" t="s">
        <v>33</v>
      </c>
      <c r="N2" s="4" t="s">
        <v>43</v>
      </c>
      <c r="O2" s="4" t="s">
        <v>44</v>
      </c>
      <c r="P2" s="4" t="s">
        <v>45</v>
      </c>
      <c r="Q2" s="4" t="s">
        <v>46</v>
      </c>
      <c r="R2" s="4" t="s">
        <v>9</v>
      </c>
      <c r="S2" s="9" t="s">
        <v>13</v>
      </c>
      <c r="T2" s="9" t="s">
        <v>14</v>
      </c>
      <c r="U2" s="3" t="s">
        <v>37</v>
      </c>
      <c r="V2" s="3" t="s">
        <v>17</v>
      </c>
      <c r="W2" s="13" t="s">
        <v>38</v>
      </c>
      <c r="X2" s="11" t="s">
        <v>15</v>
      </c>
      <c r="Y2" s="11" t="s">
        <v>16</v>
      </c>
      <c r="Z2" s="11" t="s">
        <v>17</v>
      </c>
      <c r="AA2" s="11" t="s">
        <v>20</v>
      </c>
      <c r="AB2" s="11" t="s">
        <v>40</v>
      </c>
      <c r="AC2" s="11" t="s">
        <v>41</v>
      </c>
      <c r="AD2" s="12" t="s">
        <v>21</v>
      </c>
      <c r="AE2" s="12" t="s">
        <v>22</v>
      </c>
      <c r="AF2" s="11" t="s">
        <v>23</v>
      </c>
      <c r="AG2" s="2" t="s">
        <v>0</v>
      </c>
      <c r="AH2" s="2" t="s">
        <v>1</v>
      </c>
      <c r="AI2" s="2" t="s">
        <v>42</v>
      </c>
      <c r="AJ2" s="2" t="s">
        <v>19</v>
      </c>
      <c r="AK2" t="s">
        <v>4</v>
      </c>
      <c r="AL2" t="s">
        <v>4</v>
      </c>
      <c r="AM2" t="s">
        <v>4</v>
      </c>
      <c r="AN2" t="s">
        <v>4</v>
      </c>
      <c r="AO2" t="s">
        <v>4</v>
      </c>
      <c r="AP2" t="s">
        <v>4</v>
      </c>
      <c r="AQ2" t="s">
        <v>4</v>
      </c>
    </row>
    <row r="3" spans="1:43" x14ac:dyDescent="0.25">
      <c r="A3" s="2" t="s">
        <v>2</v>
      </c>
      <c r="B3" s="2" t="s">
        <v>2</v>
      </c>
      <c r="C3" s="2" t="s">
        <v>2</v>
      </c>
      <c r="D3" s="3" t="s">
        <v>3</v>
      </c>
      <c r="E3" s="3" t="s">
        <v>3</v>
      </c>
      <c r="F3" s="3" t="s">
        <v>3</v>
      </c>
      <c r="G3" s="6" t="s">
        <v>24</v>
      </c>
      <c r="H3" s="6" t="s">
        <v>24</v>
      </c>
      <c r="I3" s="6" t="s">
        <v>24</v>
      </c>
      <c r="J3" s="2" t="s">
        <v>4</v>
      </c>
      <c r="K3" s="2" t="s">
        <v>4</v>
      </c>
      <c r="L3" s="8" t="s">
        <v>4</v>
      </c>
      <c r="M3" s="8" t="s">
        <v>4</v>
      </c>
      <c r="N3" s="4" t="s">
        <v>4</v>
      </c>
      <c r="O3" s="4" t="s">
        <v>4</v>
      </c>
      <c r="P3" s="4" t="s">
        <v>4</v>
      </c>
      <c r="Q3" s="4" t="s">
        <v>4</v>
      </c>
      <c r="R3" s="4" t="s">
        <v>4</v>
      </c>
      <c r="S3" s="9" t="s">
        <v>4</v>
      </c>
      <c r="T3" s="9" t="s">
        <v>4</v>
      </c>
      <c r="U3" s="3" t="s">
        <v>4</v>
      </c>
      <c r="V3" s="3" t="s">
        <v>4</v>
      </c>
      <c r="W3" s="13" t="s">
        <v>4</v>
      </c>
      <c r="X3" s="11" t="s">
        <v>5</v>
      </c>
      <c r="Y3" s="11" t="s">
        <v>5</v>
      </c>
      <c r="Z3" s="11" t="s">
        <v>5</v>
      </c>
      <c r="AA3" s="11" t="s">
        <v>5</v>
      </c>
      <c r="AB3" s="11" t="s">
        <v>5</v>
      </c>
      <c r="AC3" s="11" t="s">
        <v>5</v>
      </c>
      <c r="AD3" s="12" t="s">
        <v>5</v>
      </c>
      <c r="AE3" s="12" t="s">
        <v>5</v>
      </c>
      <c r="AF3" s="11" t="s">
        <v>5</v>
      </c>
      <c r="AG3" s="2" t="s">
        <v>6</v>
      </c>
      <c r="AH3" s="2" t="s">
        <v>5</v>
      </c>
      <c r="AI3" s="2"/>
      <c r="AJ3" s="2"/>
    </row>
    <row r="4" spans="1:43" x14ac:dyDescent="0.25">
      <c r="A4" s="16">
        <v>5565</v>
      </c>
      <c r="B4" s="16">
        <v>0</v>
      </c>
      <c r="C4" s="16">
        <v>0</v>
      </c>
      <c r="D4" s="16">
        <v>3688</v>
      </c>
      <c r="E4" s="16">
        <v>13175</v>
      </c>
      <c r="F4" s="16">
        <v>7903</v>
      </c>
      <c r="G4" s="16">
        <v>2537</v>
      </c>
      <c r="H4" s="16">
        <v>1923</v>
      </c>
      <c r="I4" s="16">
        <v>0</v>
      </c>
      <c r="J4" s="16">
        <v>5.96</v>
      </c>
      <c r="K4" s="16">
        <v>0</v>
      </c>
      <c r="L4" s="16">
        <v>0</v>
      </c>
      <c r="M4" s="16">
        <v>0</v>
      </c>
      <c r="N4" s="16">
        <v>16.37</v>
      </c>
      <c r="O4" s="16">
        <v>27.29</v>
      </c>
      <c r="P4" s="16">
        <v>16.37</v>
      </c>
      <c r="Q4" s="16">
        <v>0</v>
      </c>
      <c r="R4" s="16">
        <v>0</v>
      </c>
      <c r="S4" s="16">
        <v>22.51</v>
      </c>
      <c r="T4" s="16">
        <v>2.25</v>
      </c>
      <c r="U4" s="17">
        <v>34.369999999999997</v>
      </c>
      <c r="V4" s="17">
        <v>21.83</v>
      </c>
      <c r="W4" s="17">
        <v>30.32</v>
      </c>
      <c r="X4" s="17">
        <v>3461</v>
      </c>
      <c r="Y4" s="17">
        <v>1904</v>
      </c>
      <c r="Z4" s="17">
        <v>764</v>
      </c>
      <c r="AA4" s="17">
        <v>1450</v>
      </c>
      <c r="AB4" s="17">
        <v>10208</v>
      </c>
      <c r="AC4" s="17">
        <v>653</v>
      </c>
      <c r="AD4" s="18">
        <f>(17.95+5.96+S4-T4)*106.27</f>
        <v>4693.9458999999997</v>
      </c>
      <c r="AE4" s="19">
        <v>0</v>
      </c>
      <c r="AF4" s="16">
        <v>0</v>
      </c>
      <c r="AG4" s="16">
        <v>22.2</v>
      </c>
      <c r="AH4" s="16">
        <v>15555</v>
      </c>
      <c r="AI4" s="16">
        <v>0.56000000000000005</v>
      </c>
      <c r="AJ4" s="16">
        <v>0.67</v>
      </c>
      <c r="AK4">
        <v>0.59239984566590598</v>
      </c>
      <c r="AL4">
        <v>2.9588304162695298</v>
      </c>
      <c r="AM4">
        <v>32.373209343644902</v>
      </c>
      <c r="AN4">
        <v>1.04</v>
      </c>
      <c r="AO4">
        <v>22.84</v>
      </c>
      <c r="AP4">
        <v>1.5</v>
      </c>
      <c r="AQ4">
        <v>2.0499999999999998</v>
      </c>
    </row>
    <row r="5" spans="1:43" x14ac:dyDescent="0.25">
      <c r="A5">
        <v>14057</v>
      </c>
      <c r="B5">
        <v>269</v>
      </c>
      <c r="C5">
        <v>2456</v>
      </c>
      <c r="D5">
        <v>64</v>
      </c>
      <c r="E5">
        <v>803</v>
      </c>
      <c r="F5">
        <v>11708</v>
      </c>
      <c r="G5">
        <v>51</v>
      </c>
      <c r="H5">
        <v>39</v>
      </c>
      <c r="I5">
        <v>4370</v>
      </c>
      <c r="J5">
        <v>15.06</v>
      </c>
      <c r="K5">
        <v>1.19</v>
      </c>
      <c r="L5">
        <v>7.63</v>
      </c>
      <c r="M5">
        <v>7.27</v>
      </c>
      <c r="N5">
        <v>0.13</v>
      </c>
      <c r="O5">
        <v>1.66</v>
      </c>
      <c r="P5">
        <v>24.25</v>
      </c>
      <c r="Q5">
        <v>0.84</v>
      </c>
      <c r="R5">
        <v>24.42</v>
      </c>
      <c r="S5">
        <v>33.04</v>
      </c>
      <c r="T5">
        <v>8.18</v>
      </c>
      <c r="U5">
        <v>0.67</v>
      </c>
      <c r="V5">
        <v>32.33</v>
      </c>
      <c r="W5">
        <v>4.24</v>
      </c>
      <c r="X5">
        <v>66</v>
      </c>
      <c r="Y5">
        <v>38</v>
      </c>
      <c r="Z5">
        <v>1131</v>
      </c>
      <c r="AA5">
        <v>1748</v>
      </c>
      <c r="AB5">
        <v>3369</v>
      </c>
      <c r="AC5">
        <v>720</v>
      </c>
      <c r="AD5">
        <v>6276</v>
      </c>
      <c r="AE5">
        <v>7346</v>
      </c>
      <c r="AF5">
        <v>9504</v>
      </c>
      <c r="AG5">
        <v>9.6210000000000004</v>
      </c>
      <c r="AH5">
        <v>24361</v>
      </c>
      <c r="AI5">
        <v>0.7</v>
      </c>
      <c r="AJ5">
        <v>0.28999999999999998</v>
      </c>
      <c r="AK5">
        <v>0.225055687854639</v>
      </c>
      <c r="AL5">
        <v>1.08809694588421</v>
      </c>
      <c r="AM5">
        <v>31.229971025409299</v>
      </c>
      <c r="AN5">
        <v>7.35</v>
      </c>
      <c r="AO5">
        <v>19.37</v>
      </c>
      <c r="AP5">
        <v>7.34</v>
      </c>
      <c r="AQ5">
        <v>10.01</v>
      </c>
    </row>
    <row r="6" spans="1:43" x14ac:dyDescent="0.25">
      <c r="A6">
        <v>12586</v>
      </c>
      <c r="B6">
        <v>178</v>
      </c>
      <c r="C6">
        <v>2453</v>
      </c>
      <c r="D6">
        <v>186</v>
      </c>
      <c r="E6">
        <v>712</v>
      </c>
      <c r="F6">
        <v>11828</v>
      </c>
      <c r="G6">
        <v>69</v>
      </c>
      <c r="H6">
        <v>52</v>
      </c>
      <c r="I6">
        <v>4339</v>
      </c>
      <c r="J6">
        <v>13.48</v>
      </c>
      <c r="K6">
        <v>0.79</v>
      </c>
      <c r="L6">
        <v>7.62</v>
      </c>
      <c r="M6">
        <v>7.22</v>
      </c>
      <c r="N6">
        <v>0.38</v>
      </c>
      <c r="O6">
        <v>1.48</v>
      </c>
      <c r="P6">
        <v>24.5</v>
      </c>
      <c r="Q6">
        <v>0.55000000000000004</v>
      </c>
      <c r="R6">
        <v>24.39</v>
      </c>
      <c r="S6">
        <v>33.700000000000003</v>
      </c>
      <c r="T6">
        <v>6.91</v>
      </c>
      <c r="U6">
        <v>1.1599999999999999</v>
      </c>
      <c r="V6">
        <v>32.67</v>
      </c>
      <c r="W6">
        <v>3.22</v>
      </c>
      <c r="X6">
        <v>126</v>
      </c>
      <c r="Y6">
        <v>53</v>
      </c>
      <c r="Z6">
        <v>1143</v>
      </c>
      <c r="AA6">
        <v>1859</v>
      </c>
      <c r="AB6">
        <v>3479</v>
      </c>
      <c r="AC6">
        <v>682</v>
      </c>
      <c r="AD6">
        <v>6271</v>
      </c>
      <c r="AE6">
        <v>7294</v>
      </c>
      <c r="AF6">
        <v>9204</v>
      </c>
      <c r="AG6">
        <v>10.205</v>
      </c>
      <c r="AH6">
        <v>24096</v>
      </c>
      <c r="AI6">
        <v>0.69</v>
      </c>
      <c r="AJ6">
        <v>0.28999999999999998</v>
      </c>
      <c r="AK6">
        <v>0.14633464015921699</v>
      </c>
      <c r="AL6">
        <v>1.84719926697912</v>
      </c>
      <c r="AM6">
        <v>33.710266067073597</v>
      </c>
      <c r="AN6">
        <v>12.02</v>
      </c>
      <c r="AO6">
        <v>12.21</v>
      </c>
      <c r="AP6">
        <v>0.6</v>
      </c>
      <c r="AQ6">
        <v>0.81</v>
      </c>
    </row>
    <row r="7" spans="1:43" x14ac:dyDescent="0.25">
      <c r="A7">
        <v>12738</v>
      </c>
      <c r="B7">
        <v>1001</v>
      </c>
      <c r="C7">
        <v>2520</v>
      </c>
      <c r="D7">
        <v>71</v>
      </c>
      <c r="E7">
        <v>317</v>
      </c>
      <c r="F7">
        <v>10782</v>
      </c>
      <c r="G7">
        <v>47</v>
      </c>
      <c r="H7">
        <v>36</v>
      </c>
      <c r="I7">
        <v>4377</v>
      </c>
      <c r="J7">
        <v>13.65</v>
      </c>
      <c r="K7">
        <v>4.4400000000000004</v>
      </c>
      <c r="L7">
        <v>7.83</v>
      </c>
      <c r="M7">
        <v>7.28</v>
      </c>
      <c r="N7">
        <v>0.15</v>
      </c>
      <c r="O7">
        <v>0.66</v>
      </c>
      <c r="P7">
        <v>22.33</v>
      </c>
      <c r="Q7">
        <v>3.11</v>
      </c>
      <c r="R7">
        <v>25.05</v>
      </c>
      <c r="S7">
        <v>30.5</v>
      </c>
      <c r="T7">
        <v>7.26</v>
      </c>
      <c r="U7">
        <v>0.64</v>
      </c>
      <c r="V7">
        <v>29.78</v>
      </c>
      <c r="W7">
        <v>9.6199999999999992</v>
      </c>
      <c r="X7">
        <v>66</v>
      </c>
      <c r="Y7">
        <v>34</v>
      </c>
      <c r="Z7">
        <v>1042</v>
      </c>
      <c r="AA7">
        <v>1637</v>
      </c>
      <c r="AB7">
        <v>3628</v>
      </c>
      <c r="AC7">
        <v>759</v>
      </c>
      <c r="AD7">
        <v>6300</v>
      </c>
      <c r="AE7">
        <v>7358</v>
      </c>
      <c r="AF7">
        <v>9547</v>
      </c>
      <c r="AG7">
        <v>10.151999999999999</v>
      </c>
      <c r="AH7">
        <v>24733</v>
      </c>
      <c r="AI7">
        <v>0.64</v>
      </c>
      <c r="AJ7">
        <v>0.31</v>
      </c>
      <c r="AK7">
        <v>0.38056293633872801</v>
      </c>
      <c r="AL7">
        <v>1.76103939938753</v>
      </c>
      <c r="AM7">
        <v>33.343138463345198</v>
      </c>
      <c r="AN7">
        <v>6.05</v>
      </c>
      <c r="AO7">
        <v>18.36</v>
      </c>
      <c r="AP7">
        <v>4.72</v>
      </c>
      <c r="AQ7">
        <v>6.43</v>
      </c>
    </row>
    <row r="8" spans="1:43" x14ac:dyDescent="0.25">
      <c r="A8">
        <v>12628</v>
      </c>
      <c r="B8">
        <v>222</v>
      </c>
      <c r="C8">
        <v>2393</v>
      </c>
      <c r="D8">
        <v>32</v>
      </c>
      <c r="E8">
        <v>1025</v>
      </c>
      <c r="F8">
        <v>11892</v>
      </c>
      <c r="G8">
        <v>442</v>
      </c>
      <c r="H8">
        <v>335</v>
      </c>
      <c r="I8">
        <v>3683</v>
      </c>
      <c r="J8">
        <v>13.53</v>
      </c>
      <c r="K8">
        <v>0.99</v>
      </c>
      <c r="L8">
        <v>7.43</v>
      </c>
      <c r="M8">
        <v>6.13</v>
      </c>
      <c r="N8">
        <v>7.0000000000000007E-2</v>
      </c>
      <c r="O8">
        <v>2.12</v>
      </c>
      <c r="P8">
        <v>24.63</v>
      </c>
      <c r="Q8">
        <v>0.69</v>
      </c>
      <c r="R8">
        <v>23.79</v>
      </c>
      <c r="S8">
        <v>32.24</v>
      </c>
      <c r="T8">
        <v>6.97</v>
      </c>
      <c r="U8">
        <v>4.41</v>
      </c>
      <c r="V8">
        <v>32.840000000000003</v>
      </c>
      <c r="W8">
        <v>4.33</v>
      </c>
      <c r="X8">
        <v>374</v>
      </c>
      <c r="Y8">
        <v>332</v>
      </c>
      <c r="Z8">
        <v>1149</v>
      </c>
      <c r="AA8">
        <v>1771</v>
      </c>
      <c r="AB8">
        <v>4020</v>
      </c>
      <c r="AC8">
        <v>690</v>
      </c>
      <c r="AD8">
        <v>6136</v>
      </c>
      <c r="AE8">
        <v>6191</v>
      </c>
      <c r="AF8">
        <v>8112</v>
      </c>
      <c r="AG8">
        <v>10.760999999999999</v>
      </c>
      <c r="AH8">
        <v>22744</v>
      </c>
      <c r="AI8">
        <v>0.68</v>
      </c>
      <c r="AJ8">
        <v>0.31</v>
      </c>
      <c r="AK8">
        <v>0.58918976620166397</v>
      </c>
      <c r="AL8">
        <v>1.01247853133412</v>
      </c>
      <c r="AM8">
        <v>33.119192301020803</v>
      </c>
      <c r="AN8">
        <v>0.54</v>
      </c>
      <c r="AO8">
        <v>24.54</v>
      </c>
      <c r="AP8">
        <v>9.5</v>
      </c>
      <c r="AQ8">
        <v>12.94</v>
      </c>
    </row>
    <row r="9" spans="1:43" x14ac:dyDescent="0.25">
      <c r="A9">
        <v>10801</v>
      </c>
      <c r="B9">
        <v>148</v>
      </c>
      <c r="C9">
        <v>2436</v>
      </c>
      <c r="D9">
        <v>114</v>
      </c>
      <c r="E9">
        <v>1392</v>
      </c>
      <c r="F9">
        <v>11348</v>
      </c>
      <c r="G9">
        <v>276</v>
      </c>
      <c r="H9">
        <v>209</v>
      </c>
      <c r="I9">
        <v>3975</v>
      </c>
      <c r="J9">
        <v>11.57</v>
      </c>
      <c r="K9">
        <v>0.66</v>
      </c>
      <c r="L9">
        <v>7.57</v>
      </c>
      <c r="M9">
        <v>6.61</v>
      </c>
      <c r="N9">
        <v>0.24</v>
      </c>
      <c r="O9">
        <v>2.88</v>
      </c>
      <c r="P9">
        <v>23.51</v>
      </c>
      <c r="Q9">
        <v>0.46</v>
      </c>
      <c r="R9">
        <v>24.22</v>
      </c>
      <c r="S9">
        <v>33.64</v>
      </c>
      <c r="T9">
        <v>5.47</v>
      </c>
      <c r="U9">
        <v>2.99</v>
      </c>
      <c r="V9">
        <v>31.34</v>
      </c>
      <c r="W9">
        <v>4.5199999999999996</v>
      </c>
      <c r="X9">
        <v>269</v>
      </c>
      <c r="Y9">
        <v>207</v>
      </c>
      <c r="Z9">
        <v>1097</v>
      </c>
      <c r="AA9">
        <v>1937</v>
      </c>
      <c r="AB9">
        <v>3919</v>
      </c>
      <c r="AC9">
        <v>644</v>
      </c>
      <c r="AD9">
        <v>6201</v>
      </c>
      <c r="AE9">
        <v>6682</v>
      </c>
      <c r="AF9">
        <v>8282</v>
      </c>
      <c r="AG9">
        <v>11.43</v>
      </c>
      <c r="AH9">
        <v>23132</v>
      </c>
      <c r="AI9">
        <v>0.67</v>
      </c>
      <c r="AJ9">
        <v>0.31</v>
      </c>
      <c r="AK9">
        <v>0.33523947109718899</v>
      </c>
      <c r="AL9">
        <v>2.0833153576531598</v>
      </c>
      <c r="AM9">
        <v>32.107647120206302</v>
      </c>
      <c r="AN9">
        <v>5.22</v>
      </c>
      <c r="AO9">
        <v>19.86</v>
      </c>
      <c r="AP9">
        <v>5.51</v>
      </c>
      <c r="AQ9">
        <v>7.5</v>
      </c>
    </row>
    <row r="10" spans="1:43" x14ac:dyDescent="0.25">
      <c r="A10">
        <v>8831</v>
      </c>
      <c r="B10">
        <v>176</v>
      </c>
      <c r="C10">
        <v>2368</v>
      </c>
      <c r="D10">
        <v>135</v>
      </c>
      <c r="E10">
        <v>1362</v>
      </c>
      <c r="F10">
        <v>11639</v>
      </c>
      <c r="G10">
        <v>51</v>
      </c>
      <c r="H10">
        <v>39</v>
      </c>
      <c r="I10">
        <v>4370</v>
      </c>
      <c r="J10">
        <v>9.4600000000000009</v>
      </c>
      <c r="K10">
        <v>0.78</v>
      </c>
      <c r="L10">
        <v>7.36</v>
      </c>
      <c r="M10">
        <v>7.27</v>
      </c>
      <c r="N10">
        <v>0.28000000000000003</v>
      </c>
      <c r="O10">
        <v>2.82</v>
      </c>
      <c r="P10">
        <v>24.11</v>
      </c>
      <c r="Q10">
        <v>0.55000000000000004</v>
      </c>
      <c r="R10">
        <v>23.54</v>
      </c>
      <c r="S10">
        <v>34.590000000000003</v>
      </c>
      <c r="T10">
        <v>3.98</v>
      </c>
      <c r="U10">
        <v>0.85</v>
      </c>
      <c r="V10">
        <v>32.14</v>
      </c>
      <c r="W10">
        <v>4.7</v>
      </c>
      <c r="X10">
        <v>93</v>
      </c>
      <c r="Y10">
        <v>38</v>
      </c>
      <c r="Z10">
        <v>1125</v>
      </c>
      <c r="AA10">
        <v>2072</v>
      </c>
      <c r="AB10">
        <v>3753</v>
      </c>
      <c r="AC10">
        <v>611</v>
      </c>
      <c r="AD10">
        <v>6249</v>
      </c>
      <c r="AE10">
        <v>7346</v>
      </c>
      <c r="AF10">
        <v>8660</v>
      </c>
      <c r="AG10">
        <v>11.743</v>
      </c>
      <c r="AH10">
        <v>23765</v>
      </c>
      <c r="AI10">
        <v>0.66</v>
      </c>
      <c r="AJ10">
        <v>0.31</v>
      </c>
      <c r="AK10">
        <v>3.0754287703863299E-2</v>
      </c>
      <c r="AL10">
        <v>0.47974561798576798</v>
      </c>
      <c r="AM10">
        <v>23.921230466379001</v>
      </c>
      <c r="AN10">
        <v>6.19</v>
      </c>
      <c r="AO10">
        <v>26.71</v>
      </c>
      <c r="AP10">
        <v>10.44</v>
      </c>
      <c r="AQ10">
        <v>14.23</v>
      </c>
    </row>
    <row r="11" spans="1:43" x14ac:dyDescent="0.25">
      <c r="A11">
        <v>8149</v>
      </c>
      <c r="B11">
        <v>127</v>
      </c>
      <c r="C11">
        <v>2393</v>
      </c>
      <c r="D11">
        <v>32</v>
      </c>
      <c r="E11">
        <v>1048</v>
      </c>
      <c r="F11">
        <v>12012</v>
      </c>
      <c r="G11">
        <v>236</v>
      </c>
      <c r="H11">
        <v>179</v>
      </c>
      <c r="I11">
        <v>4045</v>
      </c>
      <c r="J11">
        <v>8.73</v>
      </c>
      <c r="K11">
        <v>0.56000000000000005</v>
      </c>
      <c r="L11">
        <v>7.43</v>
      </c>
      <c r="M11">
        <v>6.73</v>
      </c>
      <c r="N11">
        <v>7.0000000000000007E-2</v>
      </c>
      <c r="O11">
        <v>2.17</v>
      </c>
      <c r="P11">
        <v>24.88</v>
      </c>
      <c r="Q11">
        <v>0.39</v>
      </c>
      <c r="R11">
        <v>23.79</v>
      </c>
      <c r="S11">
        <v>34.58</v>
      </c>
      <c r="T11">
        <v>3.49</v>
      </c>
      <c r="U11">
        <v>2.39</v>
      </c>
      <c r="V11">
        <v>33.18</v>
      </c>
      <c r="W11">
        <v>3.54</v>
      </c>
      <c r="X11">
        <v>205</v>
      </c>
      <c r="Y11">
        <v>178</v>
      </c>
      <c r="Z11">
        <v>1161</v>
      </c>
      <c r="AA11">
        <v>2101</v>
      </c>
      <c r="AB11">
        <v>3970</v>
      </c>
      <c r="AC11">
        <v>592</v>
      </c>
      <c r="AD11">
        <v>6199</v>
      </c>
      <c r="AE11">
        <v>6800</v>
      </c>
      <c r="AF11">
        <v>8019</v>
      </c>
      <c r="AG11">
        <v>12.079000000000001</v>
      </c>
      <c r="AH11">
        <v>22938</v>
      </c>
      <c r="AI11">
        <v>0.65</v>
      </c>
      <c r="AJ11">
        <v>0.31</v>
      </c>
      <c r="AK11">
        <v>2.3241297635293301</v>
      </c>
      <c r="AL11">
        <v>1.35578653498947</v>
      </c>
      <c r="AM11">
        <v>32.167407335298698</v>
      </c>
      <c r="AN11">
        <v>15.22</v>
      </c>
      <c r="AO11">
        <v>8.8800000000000008</v>
      </c>
      <c r="AP11">
        <v>1.68</v>
      </c>
      <c r="AQ11">
        <v>2.29</v>
      </c>
    </row>
    <row r="12" spans="1:43" x14ac:dyDescent="0.25">
      <c r="A12">
        <v>7343</v>
      </c>
      <c r="B12">
        <v>93</v>
      </c>
      <c r="C12">
        <v>2491</v>
      </c>
      <c r="D12">
        <v>411</v>
      </c>
      <c r="E12">
        <v>427</v>
      </c>
      <c r="F12">
        <v>11834</v>
      </c>
      <c r="G12">
        <v>255</v>
      </c>
      <c r="H12">
        <v>194</v>
      </c>
      <c r="I12">
        <v>4011</v>
      </c>
      <c r="J12">
        <v>7.87</v>
      </c>
      <c r="K12">
        <v>0.41</v>
      </c>
      <c r="L12">
        <v>7.74</v>
      </c>
      <c r="M12">
        <v>6.67</v>
      </c>
      <c r="N12">
        <v>0.85</v>
      </c>
      <c r="O12">
        <v>0.88</v>
      </c>
      <c r="P12">
        <v>24.51</v>
      </c>
      <c r="Q12">
        <v>0.28999999999999998</v>
      </c>
      <c r="R12">
        <v>24.76</v>
      </c>
      <c r="S12">
        <v>35.270000000000003</v>
      </c>
      <c r="T12">
        <v>2.92</v>
      </c>
      <c r="U12">
        <v>3.58</v>
      </c>
      <c r="V12">
        <v>32.68</v>
      </c>
      <c r="W12">
        <v>1.8</v>
      </c>
      <c r="X12">
        <v>365</v>
      </c>
      <c r="Y12">
        <v>192</v>
      </c>
      <c r="Z12">
        <v>1144</v>
      </c>
      <c r="AA12">
        <v>2175</v>
      </c>
      <c r="AB12">
        <v>4052</v>
      </c>
      <c r="AC12">
        <v>567</v>
      </c>
      <c r="AD12">
        <v>6225</v>
      </c>
      <c r="AE12">
        <v>6742</v>
      </c>
      <c r="AF12">
        <v>7842</v>
      </c>
      <c r="AG12">
        <v>12.471</v>
      </c>
      <c r="AH12">
        <v>22809</v>
      </c>
      <c r="AI12">
        <v>0.65</v>
      </c>
      <c r="AJ12">
        <v>0.31</v>
      </c>
      <c r="AK12" s="20">
        <v>7.97972954419429E-4</v>
      </c>
      <c r="AL12">
        <v>3.4820820315169398</v>
      </c>
      <c r="AM12">
        <v>31.316306123684399</v>
      </c>
      <c r="AN12">
        <v>4.37</v>
      </c>
      <c r="AO12">
        <v>20.309999999999999</v>
      </c>
      <c r="AP12">
        <v>7.41</v>
      </c>
      <c r="AQ12">
        <v>10.1</v>
      </c>
    </row>
    <row r="13" spans="1:43" x14ac:dyDescent="0.25">
      <c r="A13">
        <v>9287</v>
      </c>
      <c r="B13">
        <v>730</v>
      </c>
      <c r="C13">
        <v>2270</v>
      </c>
      <c r="D13">
        <v>85</v>
      </c>
      <c r="E13">
        <v>955</v>
      </c>
      <c r="F13">
        <v>11736</v>
      </c>
      <c r="G13">
        <v>93</v>
      </c>
      <c r="H13">
        <v>71</v>
      </c>
      <c r="I13">
        <v>4296</v>
      </c>
      <c r="J13">
        <v>9.9499999999999993</v>
      </c>
      <c r="K13">
        <v>3.24</v>
      </c>
      <c r="L13">
        <v>7.05</v>
      </c>
      <c r="M13">
        <v>7.15</v>
      </c>
      <c r="N13">
        <v>0.18</v>
      </c>
      <c r="O13">
        <v>1.98</v>
      </c>
      <c r="P13">
        <v>24.31</v>
      </c>
      <c r="Q13">
        <v>2.27</v>
      </c>
      <c r="R13">
        <v>22.57</v>
      </c>
      <c r="S13">
        <v>31.67</v>
      </c>
      <c r="T13">
        <v>4.4400000000000004</v>
      </c>
      <c r="U13">
        <v>1.1399999999999999</v>
      </c>
      <c r="V13">
        <v>32.409999999999997</v>
      </c>
      <c r="W13">
        <v>8.68</v>
      </c>
      <c r="X13">
        <v>109</v>
      </c>
      <c r="Y13">
        <v>71</v>
      </c>
      <c r="Z13">
        <v>1134</v>
      </c>
      <c r="AA13">
        <v>1864</v>
      </c>
      <c r="AB13">
        <v>3946</v>
      </c>
      <c r="AC13">
        <v>677</v>
      </c>
      <c r="AD13">
        <v>6203</v>
      </c>
      <c r="AE13">
        <v>7222</v>
      </c>
      <c r="AF13">
        <v>8785</v>
      </c>
      <c r="AG13">
        <v>11.467000000000001</v>
      </c>
      <c r="AH13">
        <v>24027</v>
      </c>
      <c r="AI13">
        <v>0.62</v>
      </c>
      <c r="AJ13">
        <v>0.32</v>
      </c>
      <c r="AK13">
        <v>2.24014342044986E-2</v>
      </c>
      <c r="AL13">
        <v>2.5793085841577201</v>
      </c>
      <c r="AM13">
        <v>32.192978039268297</v>
      </c>
      <c r="AN13">
        <v>12.7</v>
      </c>
      <c r="AO13">
        <v>12.11</v>
      </c>
      <c r="AP13">
        <v>2.44</v>
      </c>
      <c r="AQ13">
        <v>3.32</v>
      </c>
    </row>
    <row r="14" spans="1:43" x14ac:dyDescent="0.25">
      <c r="A14">
        <v>11008</v>
      </c>
      <c r="B14">
        <v>12</v>
      </c>
      <c r="C14">
        <v>2523</v>
      </c>
      <c r="D14">
        <v>31</v>
      </c>
      <c r="E14">
        <v>608</v>
      </c>
      <c r="F14">
        <v>12000</v>
      </c>
      <c r="G14">
        <v>808</v>
      </c>
      <c r="H14">
        <v>612</v>
      </c>
      <c r="I14">
        <v>3040</v>
      </c>
      <c r="J14">
        <v>11.79</v>
      </c>
      <c r="K14">
        <v>0.06</v>
      </c>
      <c r="L14">
        <v>7.84</v>
      </c>
      <c r="M14">
        <v>5.0599999999999996</v>
      </c>
      <c r="N14">
        <v>0.06</v>
      </c>
      <c r="O14">
        <v>1.26</v>
      </c>
      <c r="P14">
        <v>24.86</v>
      </c>
      <c r="Q14">
        <v>0.04</v>
      </c>
      <c r="R14">
        <v>25.08</v>
      </c>
      <c r="S14">
        <v>32.85</v>
      </c>
      <c r="T14">
        <v>5.59</v>
      </c>
      <c r="U14">
        <v>7.99</v>
      </c>
      <c r="V14">
        <v>33.14</v>
      </c>
      <c r="W14">
        <v>1.51</v>
      </c>
      <c r="X14">
        <v>673</v>
      </c>
      <c r="Y14">
        <v>607</v>
      </c>
      <c r="Z14">
        <v>1160</v>
      </c>
      <c r="AA14">
        <v>1893</v>
      </c>
      <c r="AB14">
        <v>4484</v>
      </c>
      <c r="AC14">
        <v>631</v>
      </c>
      <c r="AD14">
        <v>6064</v>
      </c>
      <c r="AE14">
        <v>5110</v>
      </c>
      <c r="AF14">
        <v>6749</v>
      </c>
      <c r="AG14">
        <v>11.815</v>
      </c>
      <c r="AH14">
        <v>21053</v>
      </c>
      <c r="AI14">
        <v>0.67</v>
      </c>
      <c r="AJ14">
        <v>0.32</v>
      </c>
      <c r="AK14">
        <v>8.4009820266745402E-2</v>
      </c>
      <c r="AL14">
        <v>3.5006418951122198</v>
      </c>
      <c r="AM14">
        <v>31.654150153154301</v>
      </c>
      <c r="AN14">
        <v>12.09</v>
      </c>
      <c r="AO14">
        <v>12.25</v>
      </c>
      <c r="AP14">
        <v>0.54</v>
      </c>
      <c r="AQ14">
        <v>0.74</v>
      </c>
    </row>
    <row r="15" spans="1:43" x14ac:dyDescent="0.25">
      <c r="A15">
        <v>7343</v>
      </c>
      <c r="B15">
        <v>940</v>
      </c>
      <c r="C15">
        <v>2226</v>
      </c>
      <c r="D15">
        <v>308</v>
      </c>
      <c r="E15">
        <v>531</v>
      </c>
      <c r="F15">
        <v>11835</v>
      </c>
      <c r="G15">
        <v>50</v>
      </c>
      <c r="H15">
        <v>38</v>
      </c>
      <c r="I15">
        <v>4372</v>
      </c>
      <c r="J15">
        <v>7.87</v>
      </c>
      <c r="K15">
        <v>4.17</v>
      </c>
      <c r="L15">
        <v>6.92</v>
      </c>
      <c r="M15">
        <v>7.27</v>
      </c>
      <c r="N15">
        <v>0.64</v>
      </c>
      <c r="O15">
        <v>1.1000000000000001</v>
      </c>
      <c r="P15">
        <v>24.51</v>
      </c>
      <c r="Q15">
        <v>2.92</v>
      </c>
      <c r="R15">
        <v>22.13</v>
      </c>
      <c r="S15">
        <v>31.45</v>
      </c>
      <c r="T15">
        <v>3.08</v>
      </c>
      <c r="U15">
        <v>1.29</v>
      </c>
      <c r="V15">
        <v>32.68</v>
      </c>
      <c r="W15">
        <v>9.57</v>
      </c>
      <c r="X15">
        <v>156</v>
      </c>
      <c r="Y15">
        <v>38</v>
      </c>
      <c r="Z15">
        <v>1144</v>
      </c>
      <c r="AA15">
        <v>1921</v>
      </c>
      <c r="AB15">
        <v>4103</v>
      </c>
      <c r="AC15">
        <v>660</v>
      </c>
      <c r="AD15">
        <v>6202</v>
      </c>
      <c r="AE15">
        <v>7349</v>
      </c>
      <c r="AF15">
        <v>8692</v>
      </c>
      <c r="AG15">
        <v>12.08</v>
      </c>
      <c r="AH15">
        <v>24151</v>
      </c>
      <c r="AI15">
        <v>0.59</v>
      </c>
      <c r="AJ15">
        <v>0.32</v>
      </c>
      <c r="AK15">
        <v>0.38071809815686802</v>
      </c>
      <c r="AL15">
        <v>1.76090147777141</v>
      </c>
      <c r="AM15">
        <v>33.343907403306801</v>
      </c>
      <c r="AN15">
        <v>6.88</v>
      </c>
      <c r="AO15">
        <v>17.52</v>
      </c>
      <c r="AP15">
        <v>2.36</v>
      </c>
      <c r="AQ15">
        <v>3.22</v>
      </c>
    </row>
    <row r="16" spans="1:43" x14ac:dyDescent="0.25">
      <c r="A16">
        <v>8714</v>
      </c>
      <c r="B16">
        <v>38</v>
      </c>
      <c r="C16">
        <v>2510</v>
      </c>
      <c r="D16">
        <v>2</v>
      </c>
      <c r="E16">
        <v>1069</v>
      </c>
      <c r="F16">
        <v>11592</v>
      </c>
      <c r="G16">
        <v>517</v>
      </c>
      <c r="H16">
        <v>392</v>
      </c>
      <c r="I16">
        <v>3551</v>
      </c>
      <c r="J16">
        <v>9.34</v>
      </c>
      <c r="K16">
        <v>0.17</v>
      </c>
      <c r="L16">
        <v>7.8</v>
      </c>
      <c r="M16">
        <v>5.91</v>
      </c>
      <c r="N16">
        <v>0</v>
      </c>
      <c r="O16">
        <v>2.21</v>
      </c>
      <c r="P16">
        <v>24.01</v>
      </c>
      <c r="Q16">
        <v>0.12</v>
      </c>
      <c r="R16">
        <v>24.95</v>
      </c>
      <c r="S16">
        <v>34.28</v>
      </c>
      <c r="T16">
        <v>3.86</v>
      </c>
      <c r="U16">
        <v>5.0599999999999996</v>
      </c>
      <c r="V16">
        <v>32.01</v>
      </c>
      <c r="W16">
        <v>2.8</v>
      </c>
      <c r="X16">
        <v>424</v>
      </c>
      <c r="Y16">
        <v>388</v>
      </c>
      <c r="Z16">
        <v>1120</v>
      </c>
      <c r="AA16">
        <v>2069</v>
      </c>
      <c r="AB16">
        <v>4263</v>
      </c>
      <c r="AC16">
        <v>589</v>
      </c>
      <c r="AD16">
        <v>6151</v>
      </c>
      <c r="AE16">
        <v>5969</v>
      </c>
      <c r="AF16">
        <v>7247</v>
      </c>
      <c r="AG16">
        <v>12.398</v>
      </c>
      <c r="AH16">
        <v>21900</v>
      </c>
      <c r="AI16">
        <v>0.66</v>
      </c>
      <c r="AJ16">
        <v>0.32</v>
      </c>
      <c r="AK16">
        <v>5.8138512010203397E-2</v>
      </c>
      <c r="AL16">
        <v>3.4953467226117798</v>
      </c>
      <c r="AM16">
        <v>27.5568263201143</v>
      </c>
      <c r="AN16">
        <v>2.19</v>
      </c>
      <c r="AO16">
        <v>25.25</v>
      </c>
      <c r="AP16">
        <v>10.28</v>
      </c>
      <c r="AQ16">
        <v>14.02</v>
      </c>
    </row>
    <row r="17" spans="1:43" x14ac:dyDescent="0.25">
      <c r="A17">
        <v>5926</v>
      </c>
      <c r="B17">
        <v>416</v>
      </c>
      <c r="C17">
        <v>2490</v>
      </c>
      <c r="D17">
        <v>58</v>
      </c>
      <c r="E17">
        <v>780</v>
      </c>
      <c r="F17">
        <v>11354</v>
      </c>
      <c r="G17">
        <v>129</v>
      </c>
      <c r="H17">
        <v>98</v>
      </c>
      <c r="I17">
        <v>4233</v>
      </c>
      <c r="J17">
        <v>6.35</v>
      </c>
      <c r="K17">
        <v>1.85</v>
      </c>
      <c r="L17">
        <v>7.74</v>
      </c>
      <c r="M17">
        <v>7.04</v>
      </c>
      <c r="N17">
        <v>0.12</v>
      </c>
      <c r="O17">
        <v>1.62</v>
      </c>
      <c r="P17">
        <v>23.52</v>
      </c>
      <c r="Q17">
        <v>1.29</v>
      </c>
      <c r="R17">
        <v>24.75</v>
      </c>
      <c r="S17">
        <v>34.869999999999997</v>
      </c>
      <c r="T17">
        <v>2.0699999999999998</v>
      </c>
      <c r="U17">
        <v>1.41</v>
      </c>
      <c r="V17">
        <v>31.36</v>
      </c>
      <c r="W17">
        <v>5.49</v>
      </c>
      <c r="X17">
        <v>128</v>
      </c>
      <c r="Y17">
        <v>96</v>
      </c>
      <c r="Z17">
        <v>1097</v>
      </c>
      <c r="AA17">
        <v>2191</v>
      </c>
      <c r="AB17">
        <v>4005</v>
      </c>
      <c r="AC17">
        <v>569</v>
      </c>
      <c r="AD17">
        <v>6265</v>
      </c>
      <c r="AE17">
        <v>7116</v>
      </c>
      <c r="AF17">
        <v>8094</v>
      </c>
      <c r="AG17">
        <v>12.81</v>
      </c>
      <c r="AH17">
        <v>23284</v>
      </c>
      <c r="AI17">
        <v>0.63</v>
      </c>
      <c r="AJ17">
        <v>0.32</v>
      </c>
      <c r="AK17">
        <v>0.11173536742611</v>
      </c>
      <c r="AL17">
        <v>2.3769862243654201</v>
      </c>
      <c r="AM17">
        <v>31.923977875355199</v>
      </c>
      <c r="AN17">
        <v>3.47</v>
      </c>
      <c r="AO17">
        <v>21.66</v>
      </c>
      <c r="AP17">
        <v>5.45</v>
      </c>
      <c r="AQ17">
        <v>7.42</v>
      </c>
    </row>
    <row r="18" spans="1:43" x14ac:dyDescent="0.25">
      <c r="A18">
        <v>14051</v>
      </c>
      <c r="B18">
        <v>1754</v>
      </c>
      <c r="C18">
        <v>1905</v>
      </c>
      <c r="D18">
        <v>203</v>
      </c>
      <c r="E18">
        <v>696</v>
      </c>
      <c r="F18">
        <v>12095</v>
      </c>
      <c r="G18">
        <v>47</v>
      </c>
      <c r="H18">
        <v>35</v>
      </c>
      <c r="I18">
        <v>4378</v>
      </c>
      <c r="J18">
        <v>15.05</v>
      </c>
      <c r="K18">
        <v>7.78</v>
      </c>
      <c r="L18">
        <v>5.92</v>
      </c>
      <c r="M18">
        <v>7.28</v>
      </c>
      <c r="N18">
        <v>0.42</v>
      </c>
      <c r="O18">
        <v>1.44</v>
      </c>
      <c r="P18">
        <v>25.05</v>
      </c>
      <c r="Q18">
        <v>5.45</v>
      </c>
      <c r="R18">
        <v>18.940000000000001</v>
      </c>
      <c r="S18">
        <v>25.43</v>
      </c>
      <c r="T18">
        <v>8.85</v>
      </c>
      <c r="U18">
        <v>0.97</v>
      </c>
      <c r="V18">
        <v>33.4</v>
      </c>
      <c r="W18">
        <v>17.170000000000002</v>
      </c>
      <c r="X18">
        <v>114</v>
      </c>
      <c r="Y18">
        <v>34</v>
      </c>
      <c r="Z18">
        <v>1169</v>
      </c>
      <c r="AA18">
        <v>1229</v>
      </c>
      <c r="AB18">
        <v>4044</v>
      </c>
      <c r="AC18">
        <v>887</v>
      </c>
      <c r="AD18">
        <v>6096</v>
      </c>
      <c r="AE18">
        <v>7359</v>
      </c>
      <c r="AF18">
        <v>9941</v>
      </c>
      <c r="AG18">
        <v>9.4830000000000005</v>
      </c>
      <c r="AH18">
        <v>25468</v>
      </c>
      <c r="AI18">
        <v>0.6</v>
      </c>
      <c r="AJ18">
        <v>0.33</v>
      </c>
      <c r="AK18">
        <v>1.06516921768984</v>
      </c>
      <c r="AL18">
        <v>2.59478589198164</v>
      </c>
      <c r="AM18">
        <v>31.718317971558399</v>
      </c>
      <c r="AN18">
        <v>2.2000000000000002</v>
      </c>
      <c r="AO18">
        <v>22.13</v>
      </c>
      <c r="AP18">
        <v>1.06</v>
      </c>
      <c r="AQ18">
        <v>1.45</v>
      </c>
    </row>
    <row r="19" spans="1:43" x14ac:dyDescent="0.25">
      <c r="A19">
        <v>13996</v>
      </c>
      <c r="B19">
        <v>1804</v>
      </c>
      <c r="C19">
        <v>2123</v>
      </c>
      <c r="D19">
        <v>128</v>
      </c>
      <c r="E19">
        <v>444</v>
      </c>
      <c r="F19">
        <v>11297</v>
      </c>
      <c r="G19">
        <v>7</v>
      </c>
      <c r="H19">
        <v>5</v>
      </c>
      <c r="I19">
        <v>4448</v>
      </c>
      <c r="J19">
        <v>14.99</v>
      </c>
      <c r="K19">
        <v>8.01</v>
      </c>
      <c r="L19">
        <v>6.6</v>
      </c>
      <c r="M19">
        <v>7.4</v>
      </c>
      <c r="N19">
        <v>0.27</v>
      </c>
      <c r="O19">
        <v>0.92</v>
      </c>
      <c r="P19">
        <v>23.4</v>
      </c>
      <c r="Q19">
        <v>5.61</v>
      </c>
      <c r="R19">
        <v>21.11</v>
      </c>
      <c r="S19">
        <v>25.97</v>
      </c>
      <c r="T19">
        <v>8.76</v>
      </c>
      <c r="U19">
        <v>0.4</v>
      </c>
      <c r="V19">
        <v>31.2</v>
      </c>
      <c r="W19">
        <v>17.04</v>
      </c>
      <c r="X19">
        <v>54</v>
      </c>
      <c r="Y19">
        <v>5</v>
      </c>
      <c r="Z19">
        <v>1092</v>
      </c>
      <c r="AA19">
        <v>1267</v>
      </c>
      <c r="AB19">
        <v>3905</v>
      </c>
      <c r="AC19">
        <v>880</v>
      </c>
      <c r="AD19">
        <v>6181</v>
      </c>
      <c r="AE19">
        <v>7477</v>
      </c>
      <c r="AF19">
        <v>10077</v>
      </c>
      <c r="AG19">
        <v>9.5239999999999991</v>
      </c>
      <c r="AH19">
        <v>25615</v>
      </c>
      <c r="AI19">
        <v>0.6</v>
      </c>
      <c r="AJ19">
        <v>0.33</v>
      </c>
      <c r="AK19">
        <v>0.157585637377926</v>
      </c>
      <c r="AL19">
        <v>2.04415260018233</v>
      </c>
      <c r="AM19">
        <v>32.557010924065203</v>
      </c>
      <c r="AN19">
        <v>17.57</v>
      </c>
      <c r="AO19">
        <v>7.35</v>
      </c>
      <c r="AP19">
        <v>0.06</v>
      </c>
      <c r="AQ19">
        <v>7.0000000000000007E-2</v>
      </c>
    </row>
    <row r="20" spans="1:43" x14ac:dyDescent="0.25">
      <c r="A20">
        <v>13227</v>
      </c>
      <c r="B20">
        <v>1613</v>
      </c>
      <c r="C20">
        <v>1949</v>
      </c>
      <c r="D20">
        <v>203</v>
      </c>
      <c r="E20">
        <v>696</v>
      </c>
      <c r="F20">
        <v>12095</v>
      </c>
      <c r="G20">
        <v>47</v>
      </c>
      <c r="H20">
        <v>35</v>
      </c>
      <c r="I20">
        <v>4378</v>
      </c>
      <c r="J20">
        <v>14.17</v>
      </c>
      <c r="K20">
        <v>7.16</v>
      </c>
      <c r="L20">
        <v>6.05</v>
      </c>
      <c r="M20">
        <v>7.28</v>
      </c>
      <c r="N20">
        <v>0.42</v>
      </c>
      <c r="O20">
        <v>1.44</v>
      </c>
      <c r="P20">
        <v>25.05</v>
      </c>
      <c r="Q20">
        <v>5.01</v>
      </c>
      <c r="R20">
        <v>19.38</v>
      </c>
      <c r="S20">
        <v>26.28</v>
      </c>
      <c r="T20">
        <v>8.0500000000000007</v>
      </c>
      <c r="U20">
        <v>0.98</v>
      </c>
      <c r="V20">
        <v>33.4</v>
      </c>
      <c r="W20">
        <v>15.92</v>
      </c>
      <c r="X20">
        <v>114</v>
      </c>
      <c r="Y20">
        <v>34</v>
      </c>
      <c r="Z20">
        <v>1169</v>
      </c>
      <c r="AA20">
        <v>1326</v>
      </c>
      <c r="AB20">
        <v>4034</v>
      </c>
      <c r="AC20">
        <v>855</v>
      </c>
      <c r="AD20">
        <v>6112</v>
      </c>
      <c r="AE20">
        <v>7359</v>
      </c>
      <c r="AF20">
        <v>9776</v>
      </c>
      <c r="AG20">
        <v>9.7959999999999994</v>
      </c>
      <c r="AH20">
        <v>25277</v>
      </c>
      <c r="AI20">
        <v>0.6</v>
      </c>
      <c r="AJ20">
        <v>0.33</v>
      </c>
      <c r="AK20">
        <v>1.5384542584683599E-2</v>
      </c>
      <c r="AL20">
        <v>2.7550308435266602</v>
      </c>
      <c r="AM20">
        <v>27.3735441214383</v>
      </c>
      <c r="AN20">
        <v>3</v>
      </c>
      <c r="AO20">
        <v>25.28</v>
      </c>
      <c r="AP20">
        <v>8.4700000000000006</v>
      </c>
      <c r="AQ20">
        <v>11.55</v>
      </c>
    </row>
    <row r="21" spans="1:43" x14ac:dyDescent="0.25">
      <c r="A21">
        <v>12837</v>
      </c>
      <c r="B21">
        <v>1754</v>
      </c>
      <c r="C21">
        <v>1905</v>
      </c>
      <c r="D21">
        <v>203</v>
      </c>
      <c r="E21">
        <v>679</v>
      </c>
      <c r="F21">
        <v>12112</v>
      </c>
      <c r="G21">
        <v>47</v>
      </c>
      <c r="H21">
        <v>35</v>
      </c>
      <c r="I21">
        <v>4378</v>
      </c>
      <c r="J21">
        <v>13.75</v>
      </c>
      <c r="K21">
        <v>7.78</v>
      </c>
      <c r="L21">
        <v>5.92</v>
      </c>
      <c r="M21">
        <v>7.28</v>
      </c>
      <c r="N21">
        <v>0.42</v>
      </c>
      <c r="O21">
        <v>1.41</v>
      </c>
      <c r="P21">
        <v>25.09</v>
      </c>
      <c r="Q21">
        <v>5.45</v>
      </c>
      <c r="R21">
        <v>18.940000000000001</v>
      </c>
      <c r="S21">
        <v>25.66</v>
      </c>
      <c r="T21">
        <v>7.78</v>
      </c>
      <c r="U21">
        <v>0.97</v>
      </c>
      <c r="V21">
        <v>33.450000000000003</v>
      </c>
      <c r="W21">
        <v>17.13</v>
      </c>
      <c r="X21">
        <v>114</v>
      </c>
      <c r="Y21">
        <v>34</v>
      </c>
      <c r="Z21">
        <v>1170</v>
      </c>
      <c r="AA21">
        <v>1302</v>
      </c>
      <c r="AB21">
        <v>4115</v>
      </c>
      <c r="AC21">
        <v>863</v>
      </c>
      <c r="AD21">
        <v>6096</v>
      </c>
      <c r="AE21">
        <v>7359</v>
      </c>
      <c r="AF21">
        <v>9759</v>
      </c>
      <c r="AG21">
        <v>9.9239999999999995</v>
      </c>
      <c r="AH21">
        <v>25333</v>
      </c>
      <c r="AI21">
        <v>0.57999999999999996</v>
      </c>
      <c r="AJ21">
        <v>0.33</v>
      </c>
      <c r="AK21">
        <v>5.0507549332819597E-3</v>
      </c>
      <c r="AL21">
        <v>2.23496202538779</v>
      </c>
      <c r="AM21">
        <v>33.173904091401397</v>
      </c>
      <c r="AN21">
        <v>10.26</v>
      </c>
      <c r="AO21">
        <v>14.14</v>
      </c>
      <c r="AP21">
        <v>6.1</v>
      </c>
      <c r="AQ21">
        <v>8.31</v>
      </c>
    </row>
    <row r="22" spans="1:43" x14ac:dyDescent="0.25">
      <c r="A22">
        <v>14023</v>
      </c>
      <c r="B22">
        <v>443</v>
      </c>
      <c r="C22">
        <v>2390</v>
      </c>
      <c r="D22">
        <v>135</v>
      </c>
      <c r="E22">
        <v>986</v>
      </c>
      <c r="F22">
        <v>11510</v>
      </c>
      <c r="G22">
        <v>593</v>
      </c>
      <c r="H22">
        <v>450</v>
      </c>
      <c r="I22">
        <v>3417</v>
      </c>
      <c r="J22">
        <v>15.02</v>
      </c>
      <c r="K22">
        <v>1.97</v>
      </c>
      <c r="L22">
        <v>7.43</v>
      </c>
      <c r="M22">
        <v>5.68</v>
      </c>
      <c r="N22">
        <v>0.28000000000000003</v>
      </c>
      <c r="O22">
        <v>2.04</v>
      </c>
      <c r="P22">
        <v>23.84</v>
      </c>
      <c r="Q22">
        <v>1.38</v>
      </c>
      <c r="R22">
        <v>23.76</v>
      </c>
      <c r="S22">
        <v>30.55</v>
      </c>
      <c r="T22">
        <v>8.2100000000000009</v>
      </c>
      <c r="U22">
        <v>6.16</v>
      </c>
      <c r="V22">
        <v>31.79</v>
      </c>
      <c r="W22">
        <v>6.2</v>
      </c>
      <c r="X22">
        <v>537</v>
      </c>
      <c r="Y22">
        <v>446</v>
      </c>
      <c r="Z22">
        <v>1112</v>
      </c>
      <c r="AA22">
        <v>1600</v>
      </c>
      <c r="AB22">
        <v>4250</v>
      </c>
      <c r="AC22">
        <v>739</v>
      </c>
      <c r="AD22">
        <v>6087</v>
      </c>
      <c r="AE22">
        <v>5744</v>
      </c>
      <c r="AF22">
        <v>7933</v>
      </c>
      <c r="AG22">
        <v>10.592000000000001</v>
      </c>
      <c r="AH22">
        <v>22522</v>
      </c>
      <c r="AI22">
        <v>0.68</v>
      </c>
      <c r="AJ22">
        <v>0.33</v>
      </c>
      <c r="AK22">
        <v>0.145298986352318</v>
      </c>
      <c r="AL22">
        <v>1.9778617481062699</v>
      </c>
      <c r="AM22">
        <v>32.789370145980897</v>
      </c>
      <c r="AN22">
        <v>0.42</v>
      </c>
      <c r="AO22">
        <v>24.4</v>
      </c>
      <c r="AP22">
        <v>4.75</v>
      </c>
      <c r="AQ22">
        <v>6.47</v>
      </c>
    </row>
    <row r="23" spans="1:43" x14ac:dyDescent="0.25">
      <c r="A23">
        <v>14195</v>
      </c>
      <c r="B23">
        <v>428</v>
      </c>
      <c r="C23">
        <v>2291</v>
      </c>
      <c r="D23">
        <v>132</v>
      </c>
      <c r="E23">
        <v>782</v>
      </c>
      <c r="F23">
        <v>12215</v>
      </c>
      <c r="G23">
        <v>812</v>
      </c>
      <c r="H23">
        <v>616</v>
      </c>
      <c r="I23">
        <v>3032</v>
      </c>
      <c r="J23">
        <v>15.21</v>
      </c>
      <c r="K23">
        <v>1.9</v>
      </c>
      <c r="L23">
        <v>7.12</v>
      </c>
      <c r="M23">
        <v>5.04</v>
      </c>
      <c r="N23">
        <v>0.27</v>
      </c>
      <c r="O23">
        <v>1.62</v>
      </c>
      <c r="P23">
        <v>25.3</v>
      </c>
      <c r="Q23">
        <v>1.33</v>
      </c>
      <c r="R23">
        <v>22.78</v>
      </c>
      <c r="S23">
        <v>29.65</v>
      </c>
      <c r="T23">
        <v>8.3800000000000008</v>
      </c>
      <c r="U23">
        <v>8.3000000000000007</v>
      </c>
      <c r="V23">
        <v>33.729999999999997</v>
      </c>
      <c r="W23">
        <v>5.6</v>
      </c>
      <c r="X23">
        <v>715</v>
      </c>
      <c r="Y23">
        <v>611</v>
      </c>
      <c r="Z23">
        <v>1180</v>
      </c>
      <c r="AA23">
        <v>1539</v>
      </c>
      <c r="AB23">
        <v>4549</v>
      </c>
      <c r="AC23">
        <v>746</v>
      </c>
      <c r="AD23">
        <v>5986</v>
      </c>
      <c r="AE23">
        <v>5097</v>
      </c>
      <c r="AF23">
        <v>7321</v>
      </c>
      <c r="AG23">
        <v>10.663</v>
      </c>
      <c r="AH23">
        <v>21719</v>
      </c>
      <c r="AI23">
        <v>0.68</v>
      </c>
      <c r="AJ23">
        <v>0.33</v>
      </c>
      <c r="AK23">
        <v>8.4009820266745402E-2</v>
      </c>
      <c r="AL23">
        <v>1.9639140492791201</v>
      </c>
      <c r="AM23">
        <v>32.611561633699502</v>
      </c>
      <c r="AN23">
        <v>12.75</v>
      </c>
      <c r="AO23">
        <v>12.25</v>
      </c>
      <c r="AP23">
        <v>10.33</v>
      </c>
      <c r="AQ23">
        <v>14.08</v>
      </c>
    </row>
    <row r="24" spans="1:43" x14ac:dyDescent="0.25">
      <c r="A24">
        <v>12179</v>
      </c>
      <c r="B24">
        <v>711</v>
      </c>
      <c r="C24">
        <v>2171</v>
      </c>
      <c r="D24">
        <v>32</v>
      </c>
      <c r="E24">
        <v>1009</v>
      </c>
      <c r="F24">
        <v>12241</v>
      </c>
      <c r="G24">
        <v>442</v>
      </c>
      <c r="H24">
        <v>335</v>
      </c>
      <c r="I24">
        <v>3683</v>
      </c>
      <c r="J24">
        <v>13.05</v>
      </c>
      <c r="K24">
        <v>3.16</v>
      </c>
      <c r="L24">
        <v>6.74</v>
      </c>
      <c r="M24">
        <v>6.13</v>
      </c>
      <c r="N24">
        <v>7.0000000000000007E-2</v>
      </c>
      <c r="O24">
        <v>2.09</v>
      </c>
      <c r="P24">
        <v>25.35</v>
      </c>
      <c r="Q24">
        <v>2.21</v>
      </c>
      <c r="R24">
        <v>21.58</v>
      </c>
      <c r="S24">
        <v>29.66</v>
      </c>
      <c r="T24">
        <v>6.77</v>
      </c>
      <c r="U24">
        <v>4.41</v>
      </c>
      <c r="V24">
        <v>33.81</v>
      </c>
      <c r="W24">
        <v>8.6300000000000008</v>
      </c>
      <c r="X24">
        <v>374</v>
      </c>
      <c r="Y24">
        <v>332</v>
      </c>
      <c r="Z24">
        <v>1183</v>
      </c>
      <c r="AA24">
        <v>1619</v>
      </c>
      <c r="AB24">
        <v>4272</v>
      </c>
      <c r="AC24">
        <v>738</v>
      </c>
      <c r="AD24">
        <v>6063</v>
      </c>
      <c r="AE24">
        <v>6191</v>
      </c>
      <c r="AF24">
        <v>8186</v>
      </c>
      <c r="AG24">
        <v>10.818</v>
      </c>
      <c r="AH24">
        <v>23045</v>
      </c>
      <c r="AI24">
        <v>0.64</v>
      </c>
      <c r="AJ24">
        <v>0.33</v>
      </c>
      <c r="AK24">
        <v>7.8996143029049004E-2</v>
      </c>
      <c r="AL24">
        <v>2.0508337437223898</v>
      </c>
      <c r="AM24">
        <v>32.411066171450599</v>
      </c>
      <c r="AN24">
        <v>2.96</v>
      </c>
      <c r="AO24">
        <v>22.12</v>
      </c>
      <c r="AP24">
        <v>9.9700000000000006</v>
      </c>
      <c r="AQ24">
        <v>13.59</v>
      </c>
    </row>
    <row r="25" spans="1:43" x14ac:dyDescent="0.25">
      <c r="A25">
        <v>10828</v>
      </c>
      <c r="B25">
        <v>707</v>
      </c>
      <c r="C25">
        <v>2226</v>
      </c>
      <c r="D25">
        <v>411</v>
      </c>
      <c r="E25">
        <v>1127</v>
      </c>
      <c r="F25">
        <v>11485</v>
      </c>
      <c r="G25">
        <v>255</v>
      </c>
      <c r="H25">
        <v>194</v>
      </c>
      <c r="I25">
        <v>4011</v>
      </c>
      <c r="J25">
        <v>11.6</v>
      </c>
      <c r="K25">
        <v>3.14</v>
      </c>
      <c r="L25">
        <v>6.92</v>
      </c>
      <c r="M25">
        <v>6.67</v>
      </c>
      <c r="N25">
        <v>0.85</v>
      </c>
      <c r="O25">
        <v>2.34</v>
      </c>
      <c r="P25">
        <v>23.79</v>
      </c>
      <c r="Q25">
        <v>2.2000000000000002</v>
      </c>
      <c r="R25">
        <v>22.13</v>
      </c>
      <c r="S25">
        <v>30.72</v>
      </c>
      <c r="T25">
        <v>5.65</v>
      </c>
      <c r="U25">
        <v>3.58</v>
      </c>
      <c r="V25">
        <v>31.72</v>
      </c>
      <c r="W25">
        <v>8.8699999999999992</v>
      </c>
      <c r="X25">
        <v>365</v>
      </c>
      <c r="Y25">
        <v>192</v>
      </c>
      <c r="Z25">
        <v>1110</v>
      </c>
      <c r="AA25">
        <v>1743</v>
      </c>
      <c r="AB25">
        <v>4193</v>
      </c>
      <c r="AC25">
        <v>708</v>
      </c>
      <c r="AD25">
        <v>6138</v>
      </c>
      <c r="AE25">
        <v>6742</v>
      </c>
      <c r="AF25">
        <v>8506</v>
      </c>
      <c r="AG25">
        <v>11.4</v>
      </c>
      <c r="AH25">
        <v>23668</v>
      </c>
      <c r="AI25">
        <v>0.63</v>
      </c>
      <c r="AJ25">
        <v>0.33</v>
      </c>
      <c r="AK25">
        <v>4.4546964692860902E-2</v>
      </c>
      <c r="AL25">
        <v>1.9531902246009301</v>
      </c>
      <c r="AM25">
        <v>31.138528592072301</v>
      </c>
      <c r="AN25">
        <v>2.81</v>
      </c>
      <c r="AO25">
        <v>23.34</v>
      </c>
      <c r="AP25">
        <v>3.24</v>
      </c>
      <c r="AQ25">
        <v>4.42</v>
      </c>
    </row>
    <row r="26" spans="1:43" x14ac:dyDescent="0.25">
      <c r="A26">
        <v>7229</v>
      </c>
      <c r="B26">
        <v>1151</v>
      </c>
      <c r="C26">
        <v>2075</v>
      </c>
      <c r="D26">
        <v>57</v>
      </c>
      <c r="E26">
        <v>788</v>
      </c>
      <c r="F26">
        <v>12236</v>
      </c>
      <c r="G26">
        <v>131</v>
      </c>
      <c r="H26">
        <v>100</v>
      </c>
      <c r="I26">
        <v>4229</v>
      </c>
      <c r="J26">
        <v>7.74</v>
      </c>
      <c r="K26">
        <v>5.1100000000000003</v>
      </c>
      <c r="L26">
        <v>6.45</v>
      </c>
      <c r="M26">
        <v>7.03</v>
      </c>
      <c r="N26">
        <v>0.12</v>
      </c>
      <c r="O26">
        <v>1.63</v>
      </c>
      <c r="P26">
        <v>25.35</v>
      </c>
      <c r="Q26">
        <v>3.58</v>
      </c>
      <c r="R26">
        <v>20.63</v>
      </c>
      <c r="S26">
        <v>29.91</v>
      </c>
      <c r="T26">
        <v>3.06</v>
      </c>
      <c r="U26">
        <v>1.44</v>
      </c>
      <c r="V26">
        <v>33.79</v>
      </c>
      <c r="W26">
        <v>12.03</v>
      </c>
      <c r="X26">
        <v>130</v>
      </c>
      <c r="Y26">
        <v>98</v>
      </c>
      <c r="Z26">
        <v>1183</v>
      </c>
      <c r="AA26">
        <v>1827</v>
      </c>
      <c r="AB26">
        <v>4293</v>
      </c>
      <c r="AC26">
        <v>686</v>
      </c>
      <c r="AD26">
        <v>6126</v>
      </c>
      <c r="AE26">
        <v>7109</v>
      </c>
      <c r="AF26">
        <v>8495</v>
      </c>
      <c r="AG26">
        <v>12.098000000000001</v>
      </c>
      <c r="AH26">
        <v>23947</v>
      </c>
      <c r="AI26">
        <v>0.56999999999999995</v>
      </c>
      <c r="AJ26">
        <v>0.33</v>
      </c>
      <c r="AK26">
        <v>0.582057761420264</v>
      </c>
      <c r="AL26">
        <v>2.9428494954350701</v>
      </c>
      <c r="AM26">
        <v>33.035540691045703</v>
      </c>
      <c r="AN26">
        <v>0.05</v>
      </c>
      <c r="AO26">
        <v>23.36</v>
      </c>
      <c r="AP26">
        <v>1.79</v>
      </c>
      <c r="AQ26">
        <v>2.44</v>
      </c>
    </row>
    <row r="27" spans="1:43" x14ac:dyDescent="0.25">
      <c r="A27">
        <v>7343</v>
      </c>
      <c r="B27">
        <v>940</v>
      </c>
      <c r="C27">
        <v>2226</v>
      </c>
      <c r="D27">
        <v>411</v>
      </c>
      <c r="E27">
        <v>427</v>
      </c>
      <c r="F27">
        <v>11835</v>
      </c>
      <c r="G27">
        <v>255</v>
      </c>
      <c r="H27">
        <v>194</v>
      </c>
      <c r="I27">
        <v>4011</v>
      </c>
      <c r="J27">
        <v>7.87</v>
      </c>
      <c r="K27">
        <v>4.17</v>
      </c>
      <c r="L27">
        <v>6.92</v>
      </c>
      <c r="M27">
        <v>6.67</v>
      </c>
      <c r="N27">
        <v>0.85</v>
      </c>
      <c r="O27">
        <v>0.89</v>
      </c>
      <c r="P27">
        <v>24.51</v>
      </c>
      <c r="Q27">
        <v>2.92</v>
      </c>
      <c r="R27">
        <v>22.13</v>
      </c>
      <c r="S27">
        <v>30.85</v>
      </c>
      <c r="T27">
        <v>3.08</v>
      </c>
      <c r="U27">
        <v>3.57</v>
      </c>
      <c r="V27">
        <v>32.68</v>
      </c>
      <c r="W27">
        <v>9.33</v>
      </c>
      <c r="X27">
        <v>365</v>
      </c>
      <c r="Y27">
        <v>192</v>
      </c>
      <c r="Z27">
        <v>1144</v>
      </c>
      <c r="AA27">
        <v>1888</v>
      </c>
      <c r="AB27">
        <v>4412</v>
      </c>
      <c r="AC27">
        <v>660</v>
      </c>
      <c r="AD27">
        <v>6138</v>
      </c>
      <c r="AE27">
        <v>6742</v>
      </c>
      <c r="AF27">
        <v>8085</v>
      </c>
      <c r="AG27">
        <v>12.425000000000001</v>
      </c>
      <c r="AH27">
        <v>23418</v>
      </c>
      <c r="AI27">
        <v>0.59</v>
      </c>
      <c r="AJ27">
        <v>0.33</v>
      </c>
      <c r="AK27">
        <v>0.529510054962261</v>
      </c>
      <c r="AL27">
        <v>3.0147324524505499</v>
      </c>
      <c r="AM27">
        <v>32.372386159890802</v>
      </c>
      <c r="AN27">
        <v>0.36</v>
      </c>
      <c r="AO27">
        <v>23.52</v>
      </c>
      <c r="AP27">
        <v>1.89</v>
      </c>
      <c r="AQ27">
        <v>2.57</v>
      </c>
    </row>
    <row r="28" spans="1:43" x14ac:dyDescent="0.25">
      <c r="A28">
        <v>8288</v>
      </c>
      <c r="B28">
        <v>336</v>
      </c>
      <c r="C28">
        <v>2297</v>
      </c>
      <c r="D28">
        <v>229</v>
      </c>
      <c r="E28">
        <v>1286</v>
      </c>
      <c r="F28">
        <v>11722</v>
      </c>
      <c r="G28">
        <v>363</v>
      </c>
      <c r="H28">
        <v>275</v>
      </c>
      <c r="I28">
        <v>3822</v>
      </c>
      <c r="J28">
        <v>8.8800000000000008</v>
      </c>
      <c r="K28">
        <v>1.49</v>
      </c>
      <c r="L28">
        <v>7.14</v>
      </c>
      <c r="M28">
        <v>6.36</v>
      </c>
      <c r="N28">
        <v>0.47</v>
      </c>
      <c r="O28">
        <v>2.66</v>
      </c>
      <c r="P28">
        <v>24.28</v>
      </c>
      <c r="Q28">
        <v>1.04</v>
      </c>
      <c r="R28">
        <v>22.84</v>
      </c>
      <c r="S28">
        <v>32.97</v>
      </c>
      <c r="T28">
        <v>3.63</v>
      </c>
      <c r="U28">
        <v>4.1399999999999997</v>
      </c>
      <c r="V28">
        <v>32.369999999999997</v>
      </c>
      <c r="W28">
        <v>5.94</v>
      </c>
      <c r="X28">
        <v>383</v>
      </c>
      <c r="Y28">
        <v>272</v>
      </c>
      <c r="Z28">
        <v>1133</v>
      </c>
      <c r="AA28">
        <v>1995</v>
      </c>
      <c r="AB28">
        <v>4315</v>
      </c>
      <c r="AC28">
        <v>619</v>
      </c>
      <c r="AD28">
        <v>6128</v>
      </c>
      <c r="AE28">
        <v>6425</v>
      </c>
      <c r="AF28">
        <v>7703</v>
      </c>
      <c r="AG28">
        <v>12.426</v>
      </c>
      <c r="AH28">
        <v>22694</v>
      </c>
      <c r="AI28">
        <v>0.63</v>
      </c>
      <c r="AJ28">
        <v>0.33</v>
      </c>
      <c r="AK28">
        <v>0.35020668254950299</v>
      </c>
      <c r="AL28">
        <v>3.13430821817215</v>
      </c>
      <c r="AM28">
        <v>32.144318384925398</v>
      </c>
      <c r="AN28">
        <v>0.55000000000000004</v>
      </c>
      <c r="AO28">
        <v>23.54</v>
      </c>
      <c r="AP28">
        <v>0.21</v>
      </c>
      <c r="AQ28">
        <v>0.28999999999999998</v>
      </c>
    </row>
    <row r="29" spans="1:43" x14ac:dyDescent="0.25">
      <c r="A29">
        <v>8656</v>
      </c>
      <c r="B29">
        <v>116</v>
      </c>
      <c r="C29">
        <v>2366</v>
      </c>
      <c r="D29">
        <v>205</v>
      </c>
      <c r="E29">
        <v>1310</v>
      </c>
      <c r="F29">
        <v>11722</v>
      </c>
      <c r="G29">
        <v>455</v>
      </c>
      <c r="H29">
        <v>345</v>
      </c>
      <c r="I29">
        <v>3660</v>
      </c>
      <c r="J29">
        <v>9.27</v>
      </c>
      <c r="K29">
        <v>0.51</v>
      </c>
      <c r="L29">
        <v>7.35</v>
      </c>
      <c r="M29">
        <v>6.09</v>
      </c>
      <c r="N29">
        <v>0.42</v>
      </c>
      <c r="O29">
        <v>2.71</v>
      </c>
      <c r="P29">
        <v>24.28</v>
      </c>
      <c r="Q29">
        <v>0.36</v>
      </c>
      <c r="R29">
        <v>23.52</v>
      </c>
      <c r="S29">
        <v>33.72</v>
      </c>
      <c r="T29">
        <v>3.85</v>
      </c>
      <c r="U29">
        <v>4.99</v>
      </c>
      <c r="V29">
        <v>32.369999999999997</v>
      </c>
      <c r="W29">
        <v>4.04</v>
      </c>
      <c r="X29">
        <v>449</v>
      </c>
      <c r="Y29">
        <v>343</v>
      </c>
      <c r="Z29">
        <v>1133</v>
      </c>
      <c r="AA29">
        <v>2033</v>
      </c>
      <c r="AB29">
        <v>4327</v>
      </c>
      <c r="AC29">
        <v>602</v>
      </c>
      <c r="AD29">
        <v>6121</v>
      </c>
      <c r="AE29">
        <v>6152</v>
      </c>
      <c r="AF29">
        <v>7422</v>
      </c>
      <c r="AG29">
        <v>12.443</v>
      </c>
      <c r="AH29">
        <v>22234</v>
      </c>
      <c r="AI29">
        <v>0.65</v>
      </c>
      <c r="AJ29">
        <v>0.33</v>
      </c>
      <c r="AK29">
        <v>2.57811778404483E-2</v>
      </c>
      <c r="AL29">
        <v>3.3105813139317002</v>
      </c>
      <c r="AM29">
        <v>31.248913430703901</v>
      </c>
      <c r="AN29">
        <v>7.0000000000000007E-2</v>
      </c>
      <c r="AO29">
        <v>24.79</v>
      </c>
      <c r="AP29">
        <v>10.47</v>
      </c>
      <c r="AQ29">
        <v>14.26</v>
      </c>
    </row>
    <row r="30" spans="1:43" x14ac:dyDescent="0.25">
      <c r="A30">
        <v>8290</v>
      </c>
      <c r="B30">
        <v>88</v>
      </c>
      <c r="C30">
        <v>2375</v>
      </c>
      <c r="D30">
        <v>229</v>
      </c>
      <c r="E30">
        <v>1286</v>
      </c>
      <c r="F30">
        <v>11722</v>
      </c>
      <c r="G30">
        <v>463</v>
      </c>
      <c r="H30">
        <v>351</v>
      </c>
      <c r="I30">
        <v>3646</v>
      </c>
      <c r="J30">
        <v>8.8800000000000008</v>
      </c>
      <c r="K30">
        <v>0.39</v>
      </c>
      <c r="L30">
        <v>7.38</v>
      </c>
      <c r="M30">
        <v>6.07</v>
      </c>
      <c r="N30">
        <v>0.47</v>
      </c>
      <c r="O30">
        <v>2.66</v>
      </c>
      <c r="P30">
        <v>24.28</v>
      </c>
      <c r="Q30">
        <v>0.27</v>
      </c>
      <c r="R30">
        <v>23.61</v>
      </c>
      <c r="S30">
        <v>33.97</v>
      </c>
      <c r="T30">
        <v>3.58</v>
      </c>
      <c r="U30">
        <v>5.13</v>
      </c>
      <c r="V30">
        <v>32.369999999999997</v>
      </c>
      <c r="W30">
        <v>3.74</v>
      </c>
      <c r="X30">
        <v>466</v>
      </c>
      <c r="Y30">
        <v>348</v>
      </c>
      <c r="Z30">
        <v>1133</v>
      </c>
      <c r="AA30">
        <v>2063</v>
      </c>
      <c r="AB30">
        <v>4353</v>
      </c>
      <c r="AC30">
        <v>592</v>
      </c>
      <c r="AD30">
        <v>6122</v>
      </c>
      <c r="AE30">
        <v>6129</v>
      </c>
      <c r="AF30">
        <v>7336</v>
      </c>
      <c r="AG30">
        <v>12.598000000000001</v>
      </c>
      <c r="AH30">
        <v>22151</v>
      </c>
      <c r="AI30">
        <v>0.65</v>
      </c>
      <c r="AJ30">
        <v>0.33</v>
      </c>
      <c r="AK30">
        <v>0.15024863328649099</v>
      </c>
      <c r="AL30">
        <v>2.5490136446771898</v>
      </c>
      <c r="AM30">
        <v>29.685554457951</v>
      </c>
      <c r="AN30">
        <v>6.97</v>
      </c>
      <c r="AO30">
        <v>19.649999999999999</v>
      </c>
      <c r="AP30">
        <v>5.74</v>
      </c>
      <c r="AQ30">
        <v>7.82</v>
      </c>
    </row>
    <row r="31" spans="1:43" x14ac:dyDescent="0.25">
      <c r="A31">
        <v>7343</v>
      </c>
      <c r="B31">
        <v>426</v>
      </c>
      <c r="C31">
        <v>2331</v>
      </c>
      <c r="D31">
        <v>409</v>
      </c>
      <c r="E31">
        <v>429</v>
      </c>
      <c r="F31">
        <v>12101</v>
      </c>
      <c r="G31">
        <v>436</v>
      </c>
      <c r="H31">
        <v>330</v>
      </c>
      <c r="I31">
        <v>3694</v>
      </c>
      <c r="J31">
        <v>7.87</v>
      </c>
      <c r="K31">
        <v>1.89</v>
      </c>
      <c r="L31">
        <v>7.24</v>
      </c>
      <c r="M31">
        <v>6.15</v>
      </c>
      <c r="N31">
        <v>0.85</v>
      </c>
      <c r="O31">
        <v>0.89</v>
      </c>
      <c r="P31">
        <v>25.07</v>
      </c>
      <c r="Q31">
        <v>1.32</v>
      </c>
      <c r="R31">
        <v>23.17</v>
      </c>
      <c r="S31">
        <v>32.83</v>
      </c>
      <c r="T31">
        <v>2.98</v>
      </c>
      <c r="U31">
        <v>5.33</v>
      </c>
      <c r="V31">
        <v>33.42</v>
      </c>
      <c r="W31">
        <v>4.7699999999999996</v>
      </c>
      <c r="X31">
        <v>510</v>
      </c>
      <c r="Y31">
        <v>328</v>
      </c>
      <c r="Z31">
        <v>1169</v>
      </c>
      <c r="AA31">
        <v>2022</v>
      </c>
      <c r="AB31">
        <v>4461</v>
      </c>
      <c r="AC31">
        <v>607</v>
      </c>
      <c r="AD31">
        <v>6117</v>
      </c>
      <c r="AE31">
        <v>6210</v>
      </c>
      <c r="AF31">
        <v>7406</v>
      </c>
      <c r="AG31">
        <v>12.673</v>
      </c>
      <c r="AH31">
        <v>22388</v>
      </c>
      <c r="AI31">
        <v>0.62</v>
      </c>
      <c r="AJ31">
        <v>0.33</v>
      </c>
      <c r="AK31">
        <v>7.1290668771344899E-3</v>
      </c>
      <c r="AL31">
        <v>2.22895882350555</v>
      </c>
      <c r="AM31">
        <v>33.178891067586697</v>
      </c>
      <c r="AN31">
        <v>10.26</v>
      </c>
      <c r="AO31">
        <v>14.14</v>
      </c>
      <c r="AP31">
        <v>7.91</v>
      </c>
      <c r="AQ31">
        <v>10.77</v>
      </c>
    </row>
    <row r="32" spans="1:43" x14ac:dyDescent="0.25">
      <c r="A32">
        <v>8177</v>
      </c>
      <c r="B32">
        <v>186</v>
      </c>
      <c r="C32">
        <v>2629</v>
      </c>
      <c r="D32">
        <v>127</v>
      </c>
      <c r="E32">
        <v>445</v>
      </c>
      <c r="F32">
        <v>11297</v>
      </c>
      <c r="G32">
        <v>637</v>
      </c>
      <c r="H32">
        <v>483</v>
      </c>
      <c r="I32">
        <v>3340</v>
      </c>
      <c r="J32">
        <v>8.76</v>
      </c>
      <c r="K32">
        <v>0.82</v>
      </c>
      <c r="L32">
        <v>8.17</v>
      </c>
      <c r="M32">
        <v>5.56</v>
      </c>
      <c r="N32">
        <v>0.26</v>
      </c>
      <c r="O32">
        <v>0.92</v>
      </c>
      <c r="P32">
        <v>23.4</v>
      </c>
      <c r="Q32">
        <v>0.57999999999999996</v>
      </c>
      <c r="R32">
        <v>26.14</v>
      </c>
      <c r="S32">
        <v>33.85</v>
      </c>
      <c r="T32">
        <v>3.49</v>
      </c>
      <c r="U32">
        <v>6.57</v>
      </c>
      <c r="V32">
        <v>31.2</v>
      </c>
      <c r="W32">
        <v>2.67</v>
      </c>
      <c r="X32">
        <v>570</v>
      </c>
      <c r="Y32">
        <v>479</v>
      </c>
      <c r="Z32">
        <v>1092</v>
      </c>
      <c r="AA32">
        <v>2063</v>
      </c>
      <c r="AB32">
        <v>4455</v>
      </c>
      <c r="AC32">
        <v>585</v>
      </c>
      <c r="AD32">
        <v>6152</v>
      </c>
      <c r="AE32">
        <v>5615</v>
      </c>
      <c r="AF32">
        <v>6878</v>
      </c>
      <c r="AG32">
        <v>12.746</v>
      </c>
      <c r="AH32">
        <v>21503</v>
      </c>
      <c r="AI32">
        <v>0.64</v>
      </c>
      <c r="AJ32">
        <v>0.33</v>
      </c>
      <c r="AK32">
        <v>0.60669080820983701</v>
      </c>
      <c r="AL32">
        <v>1.01622894810604</v>
      </c>
      <c r="AM32">
        <v>30.8293201912727</v>
      </c>
      <c r="AN32">
        <v>8.61</v>
      </c>
      <c r="AO32">
        <v>18.170000000000002</v>
      </c>
      <c r="AP32">
        <v>7.78</v>
      </c>
      <c r="AQ32">
        <v>10.61</v>
      </c>
    </row>
    <row r="33" spans="1:43" x14ac:dyDescent="0.25">
      <c r="A33">
        <v>6698</v>
      </c>
      <c r="B33">
        <v>17</v>
      </c>
      <c r="C33">
        <v>2349</v>
      </c>
      <c r="D33">
        <v>225</v>
      </c>
      <c r="E33">
        <v>1279</v>
      </c>
      <c r="F33">
        <v>11962</v>
      </c>
      <c r="G33">
        <v>432</v>
      </c>
      <c r="H33">
        <v>327</v>
      </c>
      <c r="I33">
        <v>3701</v>
      </c>
      <c r="J33">
        <v>7.18</v>
      </c>
      <c r="K33">
        <v>0.08</v>
      </c>
      <c r="L33">
        <v>7.3</v>
      </c>
      <c r="M33">
        <v>6.16</v>
      </c>
      <c r="N33">
        <v>0.47</v>
      </c>
      <c r="O33">
        <v>2.65</v>
      </c>
      <c r="P33">
        <v>24.78</v>
      </c>
      <c r="Q33">
        <v>0.05</v>
      </c>
      <c r="R33">
        <v>23.36</v>
      </c>
      <c r="S33">
        <v>34.93</v>
      </c>
      <c r="T33">
        <v>2.5099999999999998</v>
      </c>
      <c r="U33">
        <v>4.8099999999999996</v>
      </c>
      <c r="V33">
        <v>33.04</v>
      </c>
      <c r="W33">
        <v>3.1</v>
      </c>
      <c r="X33">
        <v>438</v>
      </c>
      <c r="Y33">
        <v>325</v>
      </c>
      <c r="Z33">
        <v>1156</v>
      </c>
      <c r="AA33">
        <v>2179</v>
      </c>
      <c r="AB33">
        <v>4385</v>
      </c>
      <c r="AC33">
        <v>555</v>
      </c>
      <c r="AD33">
        <v>6124</v>
      </c>
      <c r="AE33">
        <v>6221</v>
      </c>
      <c r="AF33">
        <v>7171</v>
      </c>
      <c r="AG33">
        <v>13.084</v>
      </c>
      <c r="AH33">
        <v>22039</v>
      </c>
      <c r="AI33">
        <v>0.65</v>
      </c>
      <c r="AJ33">
        <v>0.33</v>
      </c>
      <c r="AK33">
        <v>2.5643668554416101E-2</v>
      </c>
      <c r="AL33">
        <v>2.6466664944513401</v>
      </c>
      <c r="AM33">
        <v>33.055580778283499</v>
      </c>
      <c r="AN33">
        <v>10.93</v>
      </c>
      <c r="AO33">
        <v>13.17</v>
      </c>
      <c r="AP33">
        <v>10.33</v>
      </c>
      <c r="AQ33">
        <v>14.07</v>
      </c>
    </row>
    <row r="34" spans="1:43" x14ac:dyDescent="0.25">
      <c r="A34">
        <v>12628</v>
      </c>
      <c r="B34">
        <v>2128</v>
      </c>
      <c r="C34">
        <v>1799</v>
      </c>
      <c r="D34">
        <v>8</v>
      </c>
      <c r="E34">
        <v>755</v>
      </c>
      <c r="F34">
        <v>12178</v>
      </c>
      <c r="G34">
        <v>12</v>
      </c>
      <c r="H34">
        <v>9</v>
      </c>
      <c r="I34">
        <v>4439</v>
      </c>
      <c r="J34">
        <v>13.53</v>
      </c>
      <c r="K34">
        <v>9.4499999999999993</v>
      </c>
      <c r="L34">
        <v>5.59</v>
      </c>
      <c r="M34">
        <v>7.38</v>
      </c>
      <c r="N34">
        <v>0.02</v>
      </c>
      <c r="O34">
        <v>1.56</v>
      </c>
      <c r="P34">
        <v>25.22</v>
      </c>
      <c r="Q34">
        <v>6.61</v>
      </c>
      <c r="R34">
        <v>17.88</v>
      </c>
      <c r="S34">
        <v>24.02</v>
      </c>
      <c r="T34">
        <v>7.8</v>
      </c>
      <c r="U34">
        <v>0.14000000000000001</v>
      </c>
      <c r="V34">
        <v>33.630000000000003</v>
      </c>
      <c r="W34">
        <v>20.63</v>
      </c>
      <c r="X34">
        <v>13</v>
      </c>
      <c r="Y34">
        <v>9</v>
      </c>
      <c r="Z34">
        <v>1177</v>
      </c>
      <c r="AA34">
        <v>1195</v>
      </c>
      <c r="AB34">
        <v>4190</v>
      </c>
      <c r="AC34">
        <v>899</v>
      </c>
      <c r="AD34">
        <v>6073</v>
      </c>
      <c r="AE34">
        <v>7462</v>
      </c>
      <c r="AF34">
        <v>9943</v>
      </c>
      <c r="AG34">
        <v>9.8439999999999994</v>
      </c>
      <c r="AH34">
        <v>25668</v>
      </c>
      <c r="AI34">
        <v>0.56000000000000005</v>
      </c>
      <c r="AJ34">
        <v>0.34</v>
      </c>
      <c r="AK34">
        <v>0.52446769870204601</v>
      </c>
      <c r="AL34">
        <v>1.61116323507038</v>
      </c>
      <c r="AM34">
        <v>33.392308527592199</v>
      </c>
      <c r="AN34">
        <v>5.45</v>
      </c>
      <c r="AO34">
        <v>18.940000000000001</v>
      </c>
      <c r="AP34">
        <v>3.59</v>
      </c>
      <c r="AQ34">
        <v>4.9000000000000004</v>
      </c>
    </row>
    <row r="35" spans="1:43" x14ac:dyDescent="0.25">
      <c r="A35">
        <v>12543</v>
      </c>
      <c r="B35">
        <v>111</v>
      </c>
      <c r="C35">
        <v>2421</v>
      </c>
      <c r="D35">
        <v>17</v>
      </c>
      <c r="E35">
        <v>823</v>
      </c>
      <c r="F35">
        <v>12139</v>
      </c>
      <c r="G35">
        <v>1145</v>
      </c>
      <c r="H35">
        <v>868</v>
      </c>
      <c r="I35">
        <v>2447</v>
      </c>
      <c r="J35">
        <v>13.44</v>
      </c>
      <c r="K35">
        <v>0.49</v>
      </c>
      <c r="L35">
        <v>7.52</v>
      </c>
      <c r="M35">
        <v>4.07</v>
      </c>
      <c r="N35">
        <v>0.04</v>
      </c>
      <c r="O35">
        <v>1.7</v>
      </c>
      <c r="P35">
        <v>25.14</v>
      </c>
      <c r="Q35">
        <v>0.35</v>
      </c>
      <c r="R35">
        <v>24.07</v>
      </c>
      <c r="S35">
        <v>30.75</v>
      </c>
      <c r="T35">
        <v>6.87</v>
      </c>
      <c r="U35">
        <v>11.26</v>
      </c>
      <c r="V35">
        <v>33.520000000000003</v>
      </c>
      <c r="W35">
        <v>2.88</v>
      </c>
      <c r="X35">
        <v>945</v>
      </c>
      <c r="Y35">
        <v>861</v>
      </c>
      <c r="Z35">
        <v>1173</v>
      </c>
      <c r="AA35">
        <v>1698</v>
      </c>
      <c r="AB35">
        <v>4946</v>
      </c>
      <c r="AC35">
        <v>677</v>
      </c>
      <c r="AD35">
        <v>5926</v>
      </c>
      <c r="AE35">
        <v>4113</v>
      </c>
      <c r="AF35">
        <v>6001</v>
      </c>
      <c r="AG35">
        <v>11.786</v>
      </c>
      <c r="AH35">
        <v>20065</v>
      </c>
      <c r="AI35">
        <v>0.67</v>
      </c>
      <c r="AJ35">
        <v>0.34</v>
      </c>
      <c r="AK35">
        <v>8.1984265226639097E-2</v>
      </c>
      <c r="AL35">
        <v>2.3752614434796202</v>
      </c>
      <c r="AM35">
        <v>31.865024006611499</v>
      </c>
      <c r="AN35">
        <v>11.69</v>
      </c>
      <c r="AO35">
        <v>13.51</v>
      </c>
      <c r="AP35">
        <v>6.18</v>
      </c>
      <c r="AQ35">
        <v>8.43</v>
      </c>
    </row>
    <row r="36" spans="1:43" x14ac:dyDescent="0.25">
      <c r="A36">
        <v>12060</v>
      </c>
      <c r="B36">
        <v>104</v>
      </c>
      <c r="C36">
        <v>2421</v>
      </c>
      <c r="D36">
        <v>56</v>
      </c>
      <c r="E36">
        <v>784</v>
      </c>
      <c r="F36">
        <v>12150</v>
      </c>
      <c r="G36">
        <v>1145</v>
      </c>
      <c r="H36">
        <v>868</v>
      </c>
      <c r="I36">
        <v>2447</v>
      </c>
      <c r="J36">
        <v>12.92</v>
      </c>
      <c r="K36">
        <v>0.46</v>
      </c>
      <c r="L36">
        <v>7.52</v>
      </c>
      <c r="M36">
        <v>4.07</v>
      </c>
      <c r="N36">
        <v>0.12</v>
      </c>
      <c r="O36">
        <v>1.62</v>
      </c>
      <c r="P36">
        <v>25.17</v>
      </c>
      <c r="Q36">
        <v>0.32</v>
      </c>
      <c r="R36">
        <v>24.07</v>
      </c>
      <c r="S36">
        <v>30.9</v>
      </c>
      <c r="T36">
        <v>6.47</v>
      </c>
      <c r="U36">
        <v>11.37</v>
      </c>
      <c r="V36">
        <v>33.549999999999997</v>
      </c>
      <c r="W36">
        <v>2.72</v>
      </c>
      <c r="X36">
        <v>959</v>
      </c>
      <c r="Y36">
        <v>861</v>
      </c>
      <c r="Z36">
        <v>1174</v>
      </c>
      <c r="AA36">
        <v>1729</v>
      </c>
      <c r="AB36">
        <v>4979</v>
      </c>
      <c r="AC36">
        <v>666</v>
      </c>
      <c r="AD36">
        <v>5926</v>
      </c>
      <c r="AE36">
        <v>4113</v>
      </c>
      <c r="AF36">
        <v>5926</v>
      </c>
      <c r="AG36">
        <v>11.97</v>
      </c>
      <c r="AH36">
        <v>20012</v>
      </c>
      <c r="AI36">
        <v>0.67</v>
      </c>
      <c r="AJ36">
        <v>0.34</v>
      </c>
      <c r="AK36">
        <v>4.0977680974018202E-2</v>
      </c>
      <c r="AL36">
        <v>2.45040777874972</v>
      </c>
      <c r="AM36">
        <v>31.8335494112182</v>
      </c>
      <c r="AN36">
        <v>1.63</v>
      </c>
      <c r="AO36">
        <v>23.56</v>
      </c>
      <c r="AP36">
        <v>7.43</v>
      </c>
      <c r="AQ36">
        <v>10.119999999999999</v>
      </c>
    </row>
    <row r="37" spans="1:43" x14ac:dyDescent="0.25">
      <c r="A37">
        <v>5727</v>
      </c>
      <c r="B37">
        <v>1422</v>
      </c>
      <c r="C37">
        <v>1984</v>
      </c>
      <c r="D37">
        <v>53</v>
      </c>
      <c r="E37">
        <v>1165</v>
      </c>
      <c r="F37">
        <v>11892</v>
      </c>
      <c r="G37">
        <v>2</v>
      </c>
      <c r="H37">
        <v>2</v>
      </c>
      <c r="I37">
        <v>4456</v>
      </c>
      <c r="J37">
        <v>6.14</v>
      </c>
      <c r="K37">
        <v>6.31</v>
      </c>
      <c r="L37">
        <v>6.17</v>
      </c>
      <c r="M37">
        <v>7.41</v>
      </c>
      <c r="N37">
        <v>0.11</v>
      </c>
      <c r="O37">
        <v>2.41</v>
      </c>
      <c r="P37">
        <v>24.63</v>
      </c>
      <c r="Q37">
        <v>4.42</v>
      </c>
      <c r="R37">
        <v>19.73</v>
      </c>
      <c r="S37">
        <v>29.51</v>
      </c>
      <c r="T37">
        <v>2.16</v>
      </c>
      <c r="U37">
        <v>0.16</v>
      </c>
      <c r="V37">
        <v>32.840000000000003</v>
      </c>
      <c r="W37">
        <v>15.3</v>
      </c>
      <c r="X37">
        <v>21</v>
      </c>
      <c r="Y37">
        <v>2</v>
      </c>
      <c r="Z37">
        <v>1149</v>
      </c>
      <c r="AA37">
        <v>1845</v>
      </c>
      <c r="AB37">
        <v>4355</v>
      </c>
      <c r="AC37">
        <v>685</v>
      </c>
      <c r="AD37">
        <v>6137</v>
      </c>
      <c r="AE37">
        <v>7491</v>
      </c>
      <c r="AF37">
        <v>8708</v>
      </c>
      <c r="AG37">
        <v>12.603</v>
      </c>
      <c r="AH37">
        <v>24466</v>
      </c>
      <c r="AI37">
        <v>0.55000000000000004</v>
      </c>
      <c r="AJ37">
        <v>0.34</v>
      </c>
      <c r="AK37">
        <v>0.23305142847530699</v>
      </c>
      <c r="AL37">
        <v>0.178321372700918</v>
      </c>
      <c r="AM37">
        <v>32.576793486650701</v>
      </c>
      <c r="AN37">
        <v>16.52</v>
      </c>
      <c r="AO37">
        <v>10</v>
      </c>
      <c r="AP37">
        <v>2.04</v>
      </c>
      <c r="AQ37">
        <v>2.79</v>
      </c>
    </row>
    <row r="38" spans="1:43" x14ac:dyDescent="0.25">
      <c r="A38">
        <v>6719</v>
      </c>
      <c r="B38">
        <v>940</v>
      </c>
      <c r="C38">
        <v>2226</v>
      </c>
      <c r="D38">
        <v>411</v>
      </c>
      <c r="E38">
        <v>427</v>
      </c>
      <c r="F38">
        <v>11835</v>
      </c>
      <c r="G38">
        <v>255</v>
      </c>
      <c r="H38">
        <v>194</v>
      </c>
      <c r="I38">
        <v>4011</v>
      </c>
      <c r="J38">
        <v>7.2</v>
      </c>
      <c r="K38">
        <v>4.17</v>
      </c>
      <c r="L38">
        <v>6.92</v>
      </c>
      <c r="M38">
        <v>6.67</v>
      </c>
      <c r="N38">
        <v>0.85</v>
      </c>
      <c r="O38">
        <v>0.88</v>
      </c>
      <c r="P38">
        <v>24.51</v>
      </c>
      <c r="Q38">
        <v>2.92</v>
      </c>
      <c r="R38">
        <v>22.13</v>
      </c>
      <c r="S38">
        <v>31.1</v>
      </c>
      <c r="T38">
        <v>2.66</v>
      </c>
      <c r="U38">
        <v>3.58</v>
      </c>
      <c r="V38">
        <v>32.68</v>
      </c>
      <c r="W38">
        <v>9.33</v>
      </c>
      <c r="X38">
        <v>365</v>
      </c>
      <c r="Y38">
        <v>192</v>
      </c>
      <c r="Z38">
        <v>1144</v>
      </c>
      <c r="AA38">
        <v>1925</v>
      </c>
      <c r="AB38">
        <v>4449</v>
      </c>
      <c r="AC38">
        <v>648</v>
      </c>
      <c r="AD38">
        <v>6138</v>
      </c>
      <c r="AE38">
        <v>6742</v>
      </c>
      <c r="AF38">
        <v>7991</v>
      </c>
      <c r="AG38">
        <v>12.654999999999999</v>
      </c>
      <c r="AH38">
        <v>23349</v>
      </c>
      <c r="AI38">
        <v>0.57999999999999996</v>
      </c>
      <c r="AJ38">
        <v>0.34</v>
      </c>
      <c r="AK38">
        <v>0.332038173538373</v>
      </c>
      <c r="AL38">
        <v>1.0220254359698999</v>
      </c>
      <c r="AM38">
        <v>31.198647364320902</v>
      </c>
      <c r="AN38">
        <v>5.61</v>
      </c>
      <c r="AO38">
        <v>21.11</v>
      </c>
      <c r="AP38">
        <v>0.03</v>
      </c>
      <c r="AQ38">
        <v>0.04</v>
      </c>
    </row>
    <row r="39" spans="1:43" x14ac:dyDescent="0.25">
      <c r="A39">
        <v>5926</v>
      </c>
      <c r="B39">
        <v>1164</v>
      </c>
      <c r="C39">
        <v>2211</v>
      </c>
      <c r="D39">
        <v>58</v>
      </c>
      <c r="E39">
        <v>1141</v>
      </c>
      <c r="F39">
        <v>11210</v>
      </c>
      <c r="G39">
        <v>22</v>
      </c>
      <c r="H39">
        <v>16</v>
      </c>
      <c r="I39">
        <v>4422</v>
      </c>
      <c r="J39">
        <v>6.35</v>
      </c>
      <c r="K39">
        <v>5.17</v>
      </c>
      <c r="L39">
        <v>6.87</v>
      </c>
      <c r="M39">
        <v>7.36</v>
      </c>
      <c r="N39">
        <v>0.12</v>
      </c>
      <c r="O39">
        <v>2.36</v>
      </c>
      <c r="P39">
        <v>23.22</v>
      </c>
      <c r="Q39">
        <v>3.62</v>
      </c>
      <c r="R39">
        <v>21.98</v>
      </c>
      <c r="S39">
        <v>31.13</v>
      </c>
      <c r="T39">
        <v>2.2000000000000002</v>
      </c>
      <c r="U39">
        <v>0.36</v>
      </c>
      <c r="V39">
        <v>30.96</v>
      </c>
      <c r="W39">
        <v>12.96</v>
      </c>
      <c r="X39">
        <v>39</v>
      </c>
      <c r="Y39">
        <v>16</v>
      </c>
      <c r="Z39">
        <v>1083</v>
      </c>
      <c r="AA39">
        <v>1946</v>
      </c>
      <c r="AB39">
        <v>4221</v>
      </c>
      <c r="AC39">
        <v>654</v>
      </c>
      <c r="AD39">
        <v>6206</v>
      </c>
      <c r="AE39">
        <v>7433</v>
      </c>
      <c r="AF39">
        <v>8606</v>
      </c>
      <c r="AG39">
        <v>12.723000000000001</v>
      </c>
      <c r="AH39">
        <v>24233</v>
      </c>
      <c r="AI39">
        <v>0.56999999999999995</v>
      </c>
      <c r="AJ39">
        <v>0.34</v>
      </c>
      <c r="AK39">
        <v>0.149161209047425</v>
      </c>
      <c r="AL39">
        <v>1.9959094212258399</v>
      </c>
      <c r="AM39">
        <v>33.308669996783401</v>
      </c>
      <c r="AN39">
        <v>13.4</v>
      </c>
      <c r="AO39">
        <v>11.01</v>
      </c>
      <c r="AP39">
        <v>8.77</v>
      </c>
      <c r="AQ39">
        <v>11.95</v>
      </c>
    </row>
    <row r="40" spans="1:43" x14ac:dyDescent="0.25">
      <c r="A40">
        <v>8073</v>
      </c>
      <c r="B40">
        <v>141</v>
      </c>
      <c r="C40">
        <v>2571</v>
      </c>
      <c r="D40">
        <v>21</v>
      </c>
      <c r="E40">
        <v>856</v>
      </c>
      <c r="F40">
        <v>11336</v>
      </c>
      <c r="G40">
        <v>761</v>
      </c>
      <c r="H40">
        <v>576</v>
      </c>
      <c r="I40">
        <v>3123</v>
      </c>
      <c r="J40">
        <v>8.65</v>
      </c>
      <c r="K40">
        <v>0.62</v>
      </c>
      <c r="L40">
        <v>7.99</v>
      </c>
      <c r="M40">
        <v>5.2</v>
      </c>
      <c r="N40">
        <v>0.04</v>
      </c>
      <c r="O40">
        <v>1.77</v>
      </c>
      <c r="P40">
        <v>23.48</v>
      </c>
      <c r="Q40">
        <v>0.44</v>
      </c>
      <c r="R40">
        <v>25.56</v>
      </c>
      <c r="S40">
        <v>33.549999999999997</v>
      </c>
      <c r="T40">
        <v>3.42</v>
      </c>
      <c r="U40">
        <v>7.49</v>
      </c>
      <c r="V40">
        <v>31.31</v>
      </c>
      <c r="W40">
        <v>3.22</v>
      </c>
      <c r="X40">
        <v>630</v>
      </c>
      <c r="Y40">
        <v>571</v>
      </c>
      <c r="Z40">
        <v>1096</v>
      </c>
      <c r="AA40">
        <v>2051</v>
      </c>
      <c r="AB40">
        <v>4646</v>
      </c>
      <c r="AC40">
        <v>582</v>
      </c>
      <c r="AD40">
        <v>6095</v>
      </c>
      <c r="AE40">
        <v>5250</v>
      </c>
      <c r="AF40">
        <v>6469</v>
      </c>
      <c r="AG40">
        <v>13.022</v>
      </c>
      <c r="AH40">
        <v>21002</v>
      </c>
      <c r="AI40">
        <v>0.64</v>
      </c>
      <c r="AJ40">
        <v>0.34</v>
      </c>
      <c r="AK40">
        <v>0.33181349702836699</v>
      </c>
      <c r="AL40">
        <v>4.0755283058252303</v>
      </c>
      <c r="AM40">
        <v>27.530367444934601</v>
      </c>
      <c r="AN40">
        <v>9.1999999999999993</v>
      </c>
      <c r="AO40">
        <v>17.510000000000002</v>
      </c>
      <c r="AP40">
        <v>2.64</v>
      </c>
      <c r="AQ40">
        <v>3.6</v>
      </c>
    </row>
    <row r="41" spans="1:43" x14ac:dyDescent="0.25">
      <c r="A41">
        <v>6659</v>
      </c>
      <c r="B41">
        <v>52</v>
      </c>
      <c r="C41">
        <v>2505</v>
      </c>
      <c r="D41">
        <v>31</v>
      </c>
      <c r="E41">
        <v>608</v>
      </c>
      <c r="F41">
        <v>12028</v>
      </c>
      <c r="G41">
        <v>808</v>
      </c>
      <c r="H41">
        <v>612</v>
      </c>
      <c r="I41">
        <v>3040</v>
      </c>
      <c r="J41">
        <v>7.13</v>
      </c>
      <c r="K41">
        <v>0.23</v>
      </c>
      <c r="L41">
        <v>7.78</v>
      </c>
      <c r="M41">
        <v>5.0599999999999996</v>
      </c>
      <c r="N41">
        <v>0.06</v>
      </c>
      <c r="O41">
        <v>1.26</v>
      </c>
      <c r="P41">
        <v>24.91</v>
      </c>
      <c r="Q41">
        <v>0.16</v>
      </c>
      <c r="R41">
        <v>24.9</v>
      </c>
      <c r="S41">
        <v>34.17</v>
      </c>
      <c r="T41">
        <v>2.4700000000000002</v>
      </c>
      <c r="U41">
        <v>7.99</v>
      </c>
      <c r="V41">
        <v>33.22</v>
      </c>
      <c r="W41">
        <v>1.86</v>
      </c>
      <c r="X41">
        <v>673</v>
      </c>
      <c r="Y41">
        <v>607</v>
      </c>
      <c r="Z41">
        <v>1162</v>
      </c>
      <c r="AA41">
        <v>2140</v>
      </c>
      <c r="AB41">
        <v>4764</v>
      </c>
      <c r="AC41">
        <v>549</v>
      </c>
      <c r="AD41">
        <v>6058</v>
      </c>
      <c r="AE41">
        <v>5110</v>
      </c>
      <c r="AF41">
        <v>6107</v>
      </c>
      <c r="AG41">
        <v>13.414</v>
      </c>
      <c r="AH41">
        <v>20603</v>
      </c>
      <c r="AI41">
        <v>0.64</v>
      </c>
      <c r="AJ41">
        <v>0.34</v>
      </c>
      <c r="AK41">
        <v>5.81892714221737E-2</v>
      </c>
      <c r="AL41">
        <v>2.4053836944619502</v>
      </c>
      <c r="AM41">
        <v>31.969525639057899</v>
      </c>
      <c r="AN41">
        <v>9.68</v>
      </c>
      <c r="AO41">
        <v>15.43</v>
      </c>
      <c r="AP41">
        <v>8.34</v>
      </c>
      <c r="AQ41">
        <v>11.36</v>
      </c>
    </row>
    <row r="42" spans="1:43" x14ac:dyDescent="0.25">
      <c r="A42">
        <v>13566</v>
      </c>
      <c r="B42">
        <v>2200</v>
      </c>
      <c r="C42">
        <v>2131</v>
      </c>
      <c r="D42">
        <v>24</v>
      </c>
      <c r="E42">
        <v>164</v>
      </c>
      <c r="F42">
        <v>11052</v>
      </c>
      <c r="G42">
        <v>261</v>
      </c>
      <c r="H42">
        <v>198</v>
      </c>
      <c r="I42">
        <v>4001</v>
      </c>
      <c r="J42">
        <v>14.53</v>
      </c>
      <c r="K42">
        <v>9.77</v>
      </c>
      <c r="L42">
        <v>6.62</v>
      </c>
      <c r="M42">
        <v>6.66</v>
      </c>
      <c r="N42">
        <v>0.05</v>
      </c>
      <c r="O42">
        <v>0.34</v>
      </c>
      <c r="P42">
        <v>22.89</v>
      </c>
      <c r="Q42">
        <v>6.84</v>
      </c>
      <c r="R42">
        <v>21.18</v>
      </c>
      <c r="S42">
        <v>23.75</v>
      </c>
      <c r="T42">
        <v>8.5500000000000007</v>
      </c>
      <c r="U42">
        <v>2.62</v>
      </c>
      <c r="V42">
        <v>30.52</v>
      </c>
      <c r="W42">
        <v>19.91</v>
      </c>
      <c r="X42">
        <v>223</v>
      </c>
      <c r="Y42">
        <v>196</v>
      </c>
      <c r="Z42">
        <v>1068</v>
      </c>
      <c r="AA42">
        <v>1143</v>
      </c>
      <c r="AB42">
        <v>4364</v>
      </c>
      <c r="AC42">
        <v>908</v>
      </c>
      <c r="AD42">
        <v>6105</v>
      </c>
      <c r="AE42">
        <v>6726</v>
      </c>
      <c r="AF42">
        <v>9393</v>
      </c>
      <c r="AG42">
        <v>9.9960000000000004</v>
      </c>
      <c r="AH42">
        <v>24883</v>
      </c>
      <c r="AI42">
        <v>0.56000000000000005</v>
      </c>
      <c r="AJ42">
        <v>0.35</v>
      </c>
      <c r="AK42">
        <v>0.59442131798095699</v>
      </c>
      <c r="AL42">
        <v>2.7870974464101401</v>
      </c>
      <c r="AM42">
        <v>31.096303364242502</v>
      </c>
      <c r="AN42">
        <v>0.13</v>
      </c>
      <c r="AO42">
        <v>24.86</v>
      </c>
      <c r="AP42">
        <v>10.46</v>
      </c>
      <c r="AQ42">
        <v>14.26</v>
      </c>
    </row>
    <row r="43" spans="1:43" x14ac:dyDescent="0.25">
      <c r="A43">
        <v>13138</v>
      </c>
      <c r="B43">
        <v>1895</v>
      </c>
      <c r="C43">
        <v>2043</v>
      </c>
      <c r="D43">
        <v>9</v>
      </c>
      <c r="E43">
        <v>713</v>
      </c>
      <c r="F43">
        <v>11396</v>
      </c>
      <c r="G43">
        <v>214</v>
      </c>
      <c r="H43">
        <v>163</v>
      </c>
      <c r="I43">
        <v>4083</v>
      </c>
      <c r="J43">
        <v>14.07</v>
      </c>
      <c r="K43">
        <v>8.41</v>
      </c>
      <c r="L43">
        <v>6.35</v>
      </c>
      <c r="M43">
        <v>6.79</v>
      </c>
      <c r="N43">
        <v>0.02</v>
      </c>
      <c r="O43">
        <v>1.48</v>
      </c>
      <c r="P43">
        <v>23.61</v>
      </c>
      <c r="Q43">
        <v>5.89</v>
      </c>
      <c r="R43">
        <v>20.309999999999999</v>
      </c>
      <c r="S43">
        <v>24.94</v>
      </c>
      <c r="T43">
        <v>8.06</v>
      </c>
      <c r="U43">
        <v>2.12</v>
      </c>
      <c r="V43">
        <v>31.47</v>
      </c>
      <c r="W43">
        <v>18.46</v>
      </c>
      <c r="X43">
        <v>179</v>
      </c>
      <c r="Y43">
        <v>161</v>
      </c>
      <c r="Z43">
        <v>1101</v>
      </c>
      <c r="AA43">
        <v>1244</v>
      </c>
      <c r="AB43">
        <v>4295</v>
      </c>
      <c r="AC43">
        <v>875</v>
      </c>
      <c r="AD43">
        <v>6090</v>
      </c>
      <c r="AE43">
        <v>6864</v>
      </c>
      <c r="AF43">
        <v>9353</v>
      </c>
      <c r="AG43">
        <v>10.148999999999999</v>
      </c>
      <c r="AH43">
        <v>24810</v>
      </c>
      <c r="AI43">
        <v>0.57999999999999996</v>
      </c>
      <c r="AJ43">
        <v>0.35</v>
      </c>
      <c r="AK43">
        <v>0.380768664105818</v>
      </c>
      <c r="AL43">
        <v>1.68209128461944</v>
      </c>
      <c r="AM43">
        <v>33.464027579504602</v>
      </c>
      <c r="AN43">
        <v>13.96</v>
      </c>
      <c r="AO43">
        <v>10.43</v>
      </c>
      <c r="AP43">
        <v>4.5999999999999996</v>
      </c>
      <c r="AQ43">
        <v>6.27</v>
      </c>
    </row>
    <row r="44" spans="1:43" x14ac:dyDescent="0.25">
      <c r="A44">
        <v>14144</v>
      </c>
      <c r="B44">
        <v>867</v>
      </c>
      <c r="C44">
        <v>2162</v>
      </c>
      <c r="D44">
        <v>136</v>
      </c>
      <c r="E44">
        <v>906</v>
      </c>
      <c r="F44">
        <v>12045</v>
      </c>
      <c r="G44">
        <v>867</v>
      </c>
      <c r="H44">
        <v>657</v>
      </c>
      <c r="I44">
        <v>2936</v>
      </c>
      <c r="J44">
        <v>15.15</v>
      </c>
      <c r="K44">
        <v>3.85</v>
      </c>
      <c r="L44">
        <v>6.72</v>
      </c>
      <c r="M44">
        <v>4.88</v>
      </c>
      <c r="N44">
        <v>0.28000000000000003</v>
      </c>
      <c r="O44">
        <v>1.88</v>
      </c>
      <c r="P44">
        <v>24.95</v>
      </c>
      <c r="Q44">
        <v>2.69</v>
      </c>
      <c r="R44">
        <v>21.5</v>
      </c>
      <c r="S44">
        <v>27.33</v>
      </c>
      <c r="T44">
        <v>8.5</v>
      </c>
      <c r="U44">
        <v>8.84</v>
      </c>
      <c r="V44">
        <v>33.270000000000003</v>
      </c>
      <c r="W44">
        <v>9.7799999999999994</v>
      </c>
      <c r="X44">
        <v>762</v>
      </c>
      <c r="Y44">
        <v>651</v>
      </c>
      <c r="Z44">
        <v>1164</v>
      </c>
      <c r="AA44">
        <v>1386</v>
      </c>
      <c r="AB44">
        <v>4825</v>
      </c>
      <c r="AC44">
        <v>793</v>
      </c>
      <c r="AD44">
        <v>5928</v>
      </c>
      <c r="AE44">
        <v>4935</v>
      </c>
      <c r="AF44">
        <v>7270</v>
      </c>
      <c r="AG44">
        <v>10.811999999999999</v>
      </c>
      <c r="AH44">
        <v>21834</v>
      </c>
      <c r="AI44">
        <v>0.64</v>
      </c>
      <c r="AJ44">
        <v>0.35</v>
      </c>
      <c r="AK44">
        <v>6.9745659675238394E-2</v>
      </c>
      <c r="AL44">
        <v>0.66240627062655</v>
      </c>
      <c r="AM44">
        <v>32.6066984949627</v>
      </c>
      <c r="AN44">
        <v>1.07</v>
      </c>
      <c r="AO44">
        <v>25.12</v>
      </c>
      <c r="AP44">
        <v>3.35</v>
      </c>
      <c r="AQ44">
        <v>4.5599999999999996</v>
      </c>
    </row>
    <row r="45" spans="1:43" x14ac:dyDescent="0.25">
      <c r="A45">
        <v>14195</v>
      </c>
      <c r="B45">
        <v>592</v>
      </c>
      <c r="C45">
        <v>2425</v>
      </c>
      <c r="D45">
        <v>11</v>
      </c>
      <c r="E45">
        <v>1154</v>
      </c>
      <c r="F45">
        <v>11075</v>
      </c>
      <c r="G45">
        <v>823</v>
      </c>
      <c r="H45">
        <v>624</v>
      </c>
      <c r="I45">
        <v>3013</v>
      </c>
      <c r="J45">
        <v>15.21</v>
      </c>
      <c r="K45">
        <v>2.63</v>
      </c>
      <c r="L45">
        <v>7.53</v>
      </c>
      <c r="M45">
        <v>5.01</v>
      </c>
      <c r="N45">
        <v>0.02</v>
      </c>
      <c r="O45">
        <v>2.39</v>
      </c>
      <c r="P45">
        <v>22.94</v>
      </c>
      <c r="Q45">
        <v>1.84</v>
      </c>
      <c r="R45">
        <v>24.11</v>
      </c>
      <c r="S45">
        <v>29.33</v>
      </c>
      <c r="T45">
        <v>8.4</v>
      </c>
      <c r="U45">
        <v>8.09</v>
      </c>
      <c r="V45">
        <v>30.59</v>
      </c>
      <c r="W45">
        <v>7.91</v>
      </c>
      <c r="X45">
        <v>678</v>
      </c>
      <c r="Y45">
        <v>618</v>
      </c>
      <c r="Z45">
        <v>1070</v>
      </c>
      <c r="AA45">
        <v>1518</v>
      </c>
      <c r="AB45">
        <v>4587</v>
      </c>
      <c r="AC45">
        <v>755</v>
      </c>
      <c r="AD45">
        <v>6028</v>
      </c>
      <c r="AE45">
        <v>5065</v>
      </c>
      <c r="AF45">
        <v>7319</v>
      </c>
      <c r="AG45">
        <v>10.961</v>
      </c>
      <c r="AH45">
        <v>21786</v>
      </c>
      <c r="AI45">
        <v>0.67</v>
      </c>
      <c r="AJ45">
        <v>0.35</v>
      </c>
      <c r="AK45">
        <v>1.4330116360869199E-2</v>
      </c>
      <c r="AL45">
        <v>1.8622140915713401</v>
      </c>
      <c r="AM45">
        <v>32.716127856778499</v>
      </c>
      <c r="AN45">
        <v>6.37</v>
      </c>
      <c r="AO45">
        <v>18.7</v>
      </c>
      <c r="AP45">
        <v>1.99</v>
      </c>
      <c r="AQ45">
        <v>2.71</v>
      </c>
    </row>
    <row r="46" spans="1:43" x14ac:dyDescent="0.25">
      <c r="A46">
        <v>10990</v>
      </c>
      <c r="B46">
        <v>134</v>
      </c>
      <c r="C46">
        <v>2454</v>
      </c>
      <c r="D46">
        <v>56</v>
      </c>
      <c r="E46">
        <v>859</v>
      </c>
      <c r="F46">
        <v>11873</v>
      </c>
      <c r="G46">
        <v>1145</v>
      </c>
      <c r="H46">
        <v>868</v>
      </c>
      <c r="I46">
        <v>2447</v>
      </c>
      <c r="J46">
        <v>11.77</v>
      </c>
      <c r="K46">
        <v>0.59</v>
      </c>
      <c r="L46">
        <v>7.62</v>
      </c>
      <c r="M46">
        <v>4.07</v>
      </c>
      <c r="N46">
        <v>0.12</v>
      </c>
      <c r="O46">
        <v>1.78</v>
      </c>
      <c r="P46">
        <v>24.59</v>
      </c>
      <c r="Q46">
        <v>0.42</v>
      </c>
      <c r="R46">
        <v>24.4</v>
      </c>
      <c r="S46">
        <v>31.15</v>
      </c>
      <c r="T46">
        <v>5.61</v>
      </c>
      <c r="U46">
        <v>11.37</v>
      </c>
      <c r="V46">
        <v>32.79</v>
      </c>
      <c r="W46">
        <v>3.17</v>
      </c>
      <c r="X46">
        <v>959</v>
      </c>
      <c r="Y46">
        <v>861</v>
      </c>
      <c r="Z46">
        <v>1147</v>
      </c>
      <c r="AA46">
        <v>1791</v>
      </c>
      <c r="AB46">
        <v>5053</v>
      </c>
      <c r="AC46">
        <v>646</v>
      </c>
      <c r="AD46">
        <v>5935</v>
      </c>
      <c r="AE46">
        <v>4113</v>
      </c>
      <c r="AF46">
        <v>5769</v>
      </c>
      <c r="AG46">
        <v>12.445</v>
      </c>
      <c r="AH46">
        <v>19918</v>
      </c>
      <c r="AI46">
        <v>0.66</v>
      </c>
      <c r="AJ46">
        <v>0.35</v>
      </c>
      <c r="AK46">
        <v>4.4427102963546499E-3</v>
      </c>
      <c r="AL46">
        <v>1.87100289696202</v>
      </c>
      <c r="AM46">
        <v>31.276747216051199</v>
      </c>
      <c r="AN46">
        <v>7.42</v>
      </c>
      <c r="AO46">
        <v>18.739999999999998</v>
      </c>
      <c r="AP46">
        <v>9.8800000000000008</v>
      </c>
      <c r="AQ46">
        <v>13.46</v>
      </c>
    </row>
    <row r="47" spans="1:43" x14ac:dyDescent="0.25">
      <c r="A47">
        <v>8631</v>
      </c>
      <c r="B47">
        <v>46</v>
      </c>
      <c r="C47">
        <v>2495</v>
      </c>
      <c r="D47">
        <v>6</v>
      </c>
      <c r="E47">
        <v>1106</v>
      </c>
      <c r="F47">
        <v>11608</v>
      </c>
      <c r="G47">
        <v>954</v>
      </c>
      <c r="H47">
        <v>723</v>
      </c>
      <c r="I47">
        <v>2783</v>
      </c>
      <c r="J47">
        <v>9.25</v>
      </c>
      <c r="K47">
        <v>0.2</v>
      </c>
      <c r="L47">
        <v>7.75</v>
      </c>
      <c r="M47">
        <v>4.63</v>
      </c>
      <c r="N47">
        <v>0.01</v>
      </c>
      <c r="O47">
        <v>2.29</v>
      </c>
      <c r="P47">
        <v>24.04</v>
      </c>
      <c r="Q47">
        <v>0.14000000000000001</v>
      </c>
      <c r="R47">
        <v>24.81</v>
      </c>
      <c r="S47">
        <v>32.96</v>
      </c>
      <c r="T47">
        <v>3.8</v>
      </c>
      <c r="U47">
        <v>9.36</v>
      </c>
      <c r="V47">
        <v>32.06</v>
      </c>
      <c r="W47">
        <v>2.95</v>
      </c>
      <c r="X47">
        <v>784</v>
      </c>
      <c r="Y47">
        <v>716</v>
      </c>
      <c r="Z47">
        <v>1122</v>
      </c>
      <c r="AA47">
        <v>1997</v>
      </c>
      <c r="AB47">
        <v>4894</v>
      </c>
      <c r="AC47">
        <v>588</v>
      </c>
      <c r="AD47">
        <v>6011</v>
      </c>
      <c r="AE47">
        <v>4678</v>
      </c>
      <c r="AF47">
        <v>5944</v>
      </c>
      <c r="AG47">
        <v>13.118</v>
      </c>
      <c r="AH47">
        <v>20298</v>
      </c>
      <c r="AI47">
        <v>0.65</v>
      </c>
      <c r="AJ47">
        <v>0.35</v>
      </c>
      <c r="AK47">
        <v>1.0646836531703401</v>
      </c>
      <c r="AL47">
        <v>0.98347092486069998</v>
      </c>
      <c r="AM47">
        <v>32.684794112453297</v>
      </c>
      <c r="AN47">
        <v>2.92</v>
      </c>
      <c r="AO47">
        <v>22.13</v>
      </c>
      <c r="AP47">
        <v>1.06</v>
      </c>
      <c r="AQ47">
        <v>1.45</v>
      </c>
    </row>
    <row r="48" spans="1:43" x14ac:dyDescent="0.25">
      <c r="A48">
        <v>5721</v>
      </c>
      <c r="B48">
        <v>345</v>
      </c>
      <c r="C48">
        <v>2527</v>
      </c>
      <c r="D48">
        <v>27</v>
      </c>
      <c r="E48">
        <v>288</v>
      </c>
      <c r="F48">
        <v>11807</v>
      </c>
      <c r="G48">
        <v>808</v>
      </c>
      <c r="H48">
        <v>612</v>
      </c>
      <c r="I48">
        <v>3040</v>
      </c>
      <c r="J48">
        <v>6.13</v>
      </c>
      <c r="K48">
        <v>1.53</v>
      </c>
      <c r="L48">
        <v>7.85</v>
      </c>
      <c r="M48">
        <v>5.0599999999999996</v>
      </c>
      <c r="N48">
        <v>0.06</v>
      </c>
      <c r="O48">
        <v>0.6</v>
      </c>
      <c r="P48">
        <v>24.46</v>
      </c>
      <c r="Q48">
        <v>1.07</v>
      </c>
      <c r="R48">
        <v>25.12</v>
      </c>
      <c r="S48">
        <v>33.409999999999997</v>
      </c>
      <c r="T48">
        <v>1.94</v>
      </c>
      <c r="U48">
        <v>7.98</v>
      </c>
      <c r="V48">
        <v>32.61</v>
      </c>
      <c r="W48">
        <v>3.72</v>
      </c>
      <c r="X48">
        <v>671</v>
      </c>
      <c r="Y48">
        <v>607</v>
      </c>
      <c r="Z48">
        <v>1141</v>
      </c>
      <c r="AA48">
        <v>2119</v>
      </c>
      <c r="AB48">
        <v>4881</v>
      </c>
      <c r="AC48">
        <v>556</v>
      </c>
      <c r="AD48">
        <v>6066</v>
      </c>
      <c r="AE48">
        <v>5110</v>
      </c>
      <c r="AF48">
        <v>6064</v>
      </c>
      <c r="AG48">
        <v>13.712999999999999</v>
      </c>
      <c r="AH48">
        <v>20692</v>
      </c>
      <c r="AI48">
        <v>0.62</v>
      </c>
      <c r="AJ48">
        <v>0.35</v>
      </c>
      <c r="AK48">
        <v>0.37000006346458703</v>
      </c>
      <c r="AL48">
        <v>0.19608269957153701</v>
      </c>
      <c r="AM48">
        <v>28.7202687448383</v>
      </c>
      <c r="AN48">
        <v>4.8</v>
      </c>
      <c r="AO48">
        <v>24.49</v>
      </c>
      <c r="AP48">
        <v>3.99</v>
      </c>
      <c r="AQ48">
        <v>5.43</v>
      </c>
    </row>
    <row r="49" spans="1:43" x14ac:dyDescent="0.25">
      <c r="A49">
        <v>13138</v>
      </c>
      <c r="B49">
        <v>2190</v>
      </c>
      <c r="C49">
        <v>1950</v>
      </c>
      <c r="D49">
        <v>9</v>
      </c>
      <c r="E49">
        <v>713</v>
      </c>
      <c r="F49">
        <v>11396</v>
      </c>
      <c r="G49">
        <v>214</v>
      </c>
      <c r="H49">
        <v>163</v>
      </c>
      <c r="I49">
        <v>4083</v>
      </c>
      <c r="J49">
        <v>14.07</v>
      </c>
      <c r="K49">
        <v>9.7200000000000006</v>
      </c>
      <c r="L49">
        <v>6.06</v>
      </c>
      <c r="M49">
        <v>6.79</v>
      </c>
      <c r="N49">
        <v>0.02</v>
      </c>
      <c r="O49">
        <v>1.48</v>
      </c>
      <c r="P49">
        <v>23.61</v>
      </c>
      <c r="Q49">
        <v>6.81</v>
      </c>
      <c r="R49">
        <v>19.39</v>
      </c>
      <c r="S49">
        <v>23.5</v>
      </c>
      <c r="T49">
        <v>8.23</v>
      </c>
      <c r="U49">
        <v>2.12</v>
      </c>
      <c r="V49">
        <v>31.47</v>
      </c>
      <c r="W49">
        <v>21.09</v>
      </c>
      <c r="X49">
        <v>179</v>
      </c>
      <c r="Y49">
        <v>161</v>
      </c>
      <c r="Z49">
        <v>1101</v>
      </c>
      <c r="AA49">
        <v>1144</v>
      </c>
      <c r="AB49">
        <v>4420</v>
      </c>
      <c r="AC49">
        <v>907</v>
      </c>
      <c r="AD49">
        <v>6058</v>
      </c>
      <c r="AE49">
        <v>6864</v>
      </c>
      <c r="AF49">
        <v>9438</v>
      </c>
      <c r="AG49">
        <v>10.132999999999999</v>
      </c>
      <c r="AH49">
        <v>25020</v>
      </c>
      <c r="AI49">
        <v>0.56000000000000005</v>
      </c>
      <c r="AJ49">
        <v>0.36</v>
      </c>
      <c r="AK49">
        <v>0.184132933140152</v>
      </c>
      <c r="AL49">
        <v>0.72909843734818203</v>
      </c>
      <c r="AM49">
        <v>29.7779986150125</v>
      </c>
      <c r="AN49">
        <v>3.11</v>
      </c>
      <c r="AO49">
        <v>25.05</v>
      </c>
      <c r="AP49">
        <v>0.19</v>
      </c>
      <c r="AQ49">
        <v>0.27</v>
      </c>
    </row>
    <row r="50" spans="1:43" x14ac:dyDescent="0.25">
      <c r="A50">
        <v>12141</v>
      </c>
      <c r="B50">
        <v>2143</v>
      </c>
      <c r="C50">
        <v>2226</v>
      </c>
      <c r="D50">
        <v>49</v>
      </c>
      <c r="E50">
        <v>790</v>
      </c>
      <c r="F50">
        <v>10031</v>
      </c>
      <c r="G50">
        <v>126</v>
      </c>
      <c r="H50">
        <v>96</v>
      </c>
      <c r="I50">
        <v>4238</v>
      </c>
      <c r="J50">
        <v>13.01</v>
      </c>
      <c r="K50">
        <v>9.51</v>
      </c>
      <c r="L50">
        <v>6.92</v>
      </c>
      <c r="M50">
        <v>7.05</v>
      </c>
      <c r="N50">
        <v>0.1</v>
      </c>
      <c r="O50">
        <v>1.64</v>
      </c>
      <c r="P50">
        <v>20.78</v>
      </c>
      <c r="Q50">
        <v>6.66</v>
      </c>
      <c r="R50">
        <v>22.13</v>
      </c>
      <c r="S50">
        <v>24.91</v>
      </c>
      <c r="T50">
        <v>7.25</v>
      </c>
      <c r="U50">
        <v>1.37</v>
      </c>
      <c r="V50">
        <v>27.7</v>
      </c>
      <c r="W50">
        <v>20.84</v>
      </c>
      <c r="X50">
        <v>123</v>
      </c>
      <c r="Y50">
        <v>94</v>
      </c>
      <c r="Z50">
        <v>969</v>
      </c>
      <c r="AA50">
        <v>1285</v>
      </c>
      <c r="AB50">
        <v>4285</v>
      </c>
      <c r="AC50">
        <v>869</v>
      </c>
      <c r="AD50">
        <v>6177</v>
      </c>
      <c r="AE50">
        <v>7124</v>
      </c>
      <c r="AF50">
        <v>9524</v>
      </c>
      <c r="AG50">
        <v>10.709</v>
      </c>
      <c r="AH50">
        <v>25211</v>
      </c>
      <c r="AI50">
        <v>0.55000000000000004</v>
      </c>
      <c r="AJ50">
        <v>0.36</v>
      </c>
      <c r="AK50">
        <v>4.7474371827058801E-3</v>
      </c>
      <c r="AL50">
        <v>0.66986372368165803</v>
      </c>
      <c r="AM50">
        <v>33.551299785952096</v>
      </c>
      <c r="AN50">
        <v>15.06</v>
      </c>
      <c r="AO50">
        <v>10.47</v>
      </c>
      <c r="AP50">
        <v>1.03</v>
      </c>
      <c r="AQ50">
        <v>1.4</v>
      </c>
    </row>
    <row r="51" spans="1:43" x14ac:dyDescent="0.25">
      <c r="A51">
        <v>10643</v>
      </c>
      <c r="B51">
        <v>1903</v>
      </c>
      <c r="C51">
        <v>1891</v>
      </c>
      <c r="D51">
        <v>97</v>
      </c>
      <c r="E51">
        <v>1400</v>
      </c>
      <c r="F51">
        <v>11339</v>
      </c>
      <c r="G51">
        <v>235</v>
      </c>
      <c r="H51">
        <v>178</v>
      </c>
      <c r="I51">
        <v>4047</v>
      </c>
      <c r="J51">
        <v>11.4</v>
      </c>
      <c r="K51">
        <v>8.4499999999999993</v>
      </c>
      <c r="L51">
        <v>5.87</v>
      </c>
      <c r="M51">
        <v>6.73</v>
      </c>
      <c r="N51">
        <v>0.2</v>
      </c>
      <c r="O51">
        <v>2.9</v>
      </c>
      <c r="P51">
        <v>23.49</v>
      </c>
      <c r="Q51">
        <v>5.91</v>
      </c>
      <c r="R51">
        <v>18.8</v>
      </c>
      <c r="S51">
        <v>24.95</v>
      </c>
      <c r="T51">
        <v>5.98</v>
      </c>
      <c r="U51">
        <v>2.5499999999999998</v>
      </c>
      <c r="V51">
        <v>31.32</v>
      </c>
      <c r="W51">
        <v>20.12</v>
      </c>
      <c r="X51">
        <v>229</v>
      </c>
      <c r="Y51">
        <v>176</v>
      </c>
      <c r="Z51">
        <v>1096</v>
      </c>
      <c r="AA51">
        <v>1359</v>
      </c>
      <c r="AB51">
        <v>4612</v>
      </c>
      <c r="AC51">
        <v>834</v>
      </c>
      <c r="AD51">
        <v>6033</v>
      </c>
      <c r="AE51">
        <v>6803</v>
      </c>
      <c r="AF51">
        <v>8882</v>
      </c>
      <c r="AG51">
        <v>11.324999999999999</v>
      </c>
      <c r="AH51">
        <v>24521</v>
      </c>
      <c r="AI51">
        <v>0.54</v>
      </c>
      <c r="AJ51">
        <v>0.36</v>
      </c>
      <c r="AK51">
        <v>0.12598039249453999</v>
      </c>
      <c r="AL51">
        <v>1.81777456753847</v>
      </c>
      <c r="AM51">
        <v>27.7022652478827</v>
      </c>
      <c r="AN51">
        <v>6.66</v>
      </c>
      <c r="AO51">
        <v>22.13</v>
      </c>
      <c r="AP51">
        <v>0.52</v>
      </c>
      <c r="AQ51">
        <v>0.72</v>
      </c>
    </row>
    <row r="52" spans="1:43" x14ac:dyDescent="0.25">
      <c r="A52">
        <v>14592</v>
      </c>
      <c r="B52">
        <v>1545</v>
      </c>
      <c r="C52">
        <v>2463</v>
      </c>
      <c r="D52">
        <v>143</v>
      </c>
      <c r="E52">
        <v>85</v>
      </c>
      <c r="F52">
        <v>10399</v>
      </c>
      <c r="G52">
        <v>962</v>
      </c>
      <c r="H52">
        <v>729</v>
      </c>
      <c r="I52">
        <v>2769</v>
      </c>
      <c r="J52">
        <v>15.63</v>
      </c>
      <c r="K52">
        <v>6.86</v>
      </c>
      <c r="L52">
        <v>7.65</v>
      </c>
      <c r="M52">
        <v>4.6100000000000003</v>
      </c>
      <c r="N52">
        <v>0.3</v>
      </c>
      <c r="O52">
        <v>0.18</v>
      </c>
      <c r="P52">
        <v>21.54</v>
      </c>
      <c r="Q52">
        <v>4.8</v>
      </c>
      <c r="R52">
        <v>24.49</v>
      </c>
      <c r="S52">
        <v>25.06</v>
      </c>
      <c r="T52">
        <v>9.07</v>
      </c>
      <c r="U52">
        <v>9.7899999999999991</v>
      </c>
      <c r="V52">
        <v>28.72</v>
      </c>
      <c r="W52">
        <v>13.91</v>
      </c>
      <c r="X52">
        <v>841</v>
      </c>
      <c r="Y52">
        <v>723</v>
      </c>
      <c r="Z52">
        <v>1005</v>
      </c>
      <c r="AA52">
        <v>1214</v>
      </c>
      <c r="AB52">
        <v>5001</v>
      </c>
      <c r="AC52">
        <v>849</v>
      </c>
      <c r="AD52">
        <v>5997</v>
      </c>
      <c r="AE52">
        <v>4655</v>
      </c>
      <c r="AF52">
        <v>7284</v>
      </c>
      <c r="AG52">
        <v>10.926</v>
      </c>
      <c r="AH52">
        <v>21977</v>
      </c>
      <c r="AI52">
        <v>0.6</v>
      </c>
      <c r="AJ52">
        <v>0.37</v>
      </c>
      <c r="AK52">
        <v>4.6015959528029199E-3</v>
      </c>
      <c r="AL52">
        <v>2.6843734730509001</v>
      </c>
      <c r="AM52">
        <v>25.828226938997599</v>
      </c>
      <c r="AN52">
        <v>4.5999999999999996</v>
      </c>
      <c r="AO52">
        <v>24.91</v>
      </c>
      <c r="AP52">
        <v>7.06</v>
      </c>
      <c r="AQ52">
        <v>9.6199999999999992</v>
      </c>
    </row>
    <row r="53" spans="1:43" x14ac:dyDescent="0.25">
      <c r="A53">
        <v>11012</v>
      </c>
      <c r="B53">
        <v>2051</v>
      </c>
      <c r="C53">
        <v>1881</v>
      </c>
      <c r="D53">
        <v>6</v>
      </c>
      <c r="E53">
        <v>809</v>
      </c>
      <c r="F53">
        <v>11846</v>
      </c>
      <c r="G53">
        <v>480</v>
      </c>
      <c r="H53">
        <v>364</v>
      </c>
      <c r="I53">
        <v>3616</v>
      </c>
      <c r="J53">
        <v>11.8</v>
      </c>
      <c r="K53">
        <v>9.1</v>
      </c>
      <c r="L53">
        <v>5.84</v>
      </c>
      <c r="M53">
        <v>6.02</v>
      </c>
      <c r="N53">
        <v>0.01</v>
      </c>
      <c r="O53">
        <v>1.68</v>
      </c>
      <c r="P53">
        <v>24.54</v>
      </c>
      <c r="Q53">
        <v>6.37</v>
      </c>
      <c r="R53">
        <v>18.7</v>
      </c>
      <c r="S53">
        <v>23.53</v>
      </c>
      <c r="T53">
        <v>6.35</v>
      </c>
      <c r="U53">
        <v>4.71</v>
      </c>
      <c r="V53">
        <v>32.72</v>
      </c>
      <c r="W53">
        <v>20.07</v>
      </c>
      <c r="X53">
        <v>395</v>
      </c>
      <c r="Y53">
        <v>361</v>
      </c>
      <c r="Z53">
        <v>1145</v>
      </c>
      <c r="AA53">
        <v>1254</v>
      </c>
      <c r="AB53">
        <v>4902</v>
      </c>
      <c r="AC53">
        <v>856</v>
      </c>
      <c r="AD53">
        <v>5954</v>
      </c>
      <c r="AE53">
        <v>6078</v>
      </c>
      <c r="AF53">
        <v>8290</v>
      </c>
      <c r="AG53">
        <v>11.262</v>
      </c>
      <c r="AH53">
        <v>23719</v>
      </c>
      <c r="AI53">
        <v>0.53</v>
      </c>
      <c r="AJ53">
        <v>0.37</v>
      </c>
      <c r="AK53">
        <v>0.15084700567036999</v>
      </c>
      <c r="AL53">
        <v>2.6249502883507798</v>
      </c>
      <c r="AM53">
        <v>30.960486928253601</v>
      </c>
      <c r="AN53">
        <v>3.62</v>
      </c>
      <c r="AO53">
        <v>21.98</v>
      </c>
      <c r="AP53">
        <v>0.09</v>
      </c>
      <c r="AQ53">
        <v>0.12</v>
      </c>
    </row>
    <row r="54" spans="1:43" x14ac:dyDescent="0.25">
      <c r="A54">
        <v>14760</v>
      </c>
      <c r="B54">
        <v>78</v>
      </c>
      <c r="C54">
        <v>2431</v>
      </c>
      <c r="D54">
        <v>23</v>
      </c>
      <c r="E54">
        <v>924</v>
      </c>
      <c r="F54">
        <v>12033</v>
      </c>
      <c r="G54">
        <v>1757</v>
      </c>
      <c r="H54">
        <v>1332</v>
      </c>
      <c r="I54">
        <v>1371</v>
      </c>
      <c r="J54">
        <v>15.81</v>
      </c>
      <c r="K54">
        <v>0.35</v>
      </c>
      <c r="L54">
        <v>7.55</v>
      </c>
      <c r="M54">
        <v>2.2799999999999998</v>
      </c>
      <c r="N54">
        <v>0.05</v>
      </c>
      <c r="O54">
        <v>1.91</v>
      </c>
      <c r="P54">
        <v>24.92</v>
      </c>
      <c r="Q54">
        <v>0.24</v>
      </c>
      <c r="R54">
        <v>24.17</v>
      </c>
      <c r="S54">
        <v>28.63</v>
      </c>
      <c r="T54">
        <v>8.73</v>
      </c>
      <c r="U54">
        <v>17.260000000000002</v>
      </c>
      <c r="V54">
        <v>33.229999999999997</v>
      </c>
      <c r="W54">
        <v>2.82</v>
      </c>
      <c r="X54">
        <v>1447</v>
      </c>
      <c r="Y54">
        <v>1320</v>
      </c>
      <c r="Z54">
        <v>1163</v>
      </c>
      <c r="AA54">
        <v>1476</v>
      </c>
      <c r="AB54">
        <v>5669</v>
      </c>
      <c r="AC54">
        <v>717</v>
      </c>
      <c r="AD54">
        <v>5740</v>
      </c>
      <c r="AE54">
        <v>2305</v>
      </c>
      <c r="AF54">
        <v>4511</v>
      </c>
      <c r="AG54">
        <v>11.971</v>
      </c>
      <c r="AH54">
        <v>18046</v>
      </c>
      <c r="AI54">
        <v>0.69</v>
      </c>
      <c r="AJ54">
        <v>0.37</v>
      </c>
      <c r="AK54">
        <v>1.06516921768984</v>
      </c>
      <c r="AL54">
        <v>0.46343125186782502</v>
      </c>
      <c r="AM54">
        <v>33.456473428007598</v>
      </c>
      <c r="AN54">
        <v>14.19</v>
      </c>
      <c r="AO54">
        <v>10.75</v>
      </c>
      <c r="AP54">
        <v>6.44</v>
      </c>
      <c r="AQ54">
        <v>8.7799999999999994</v>
      </c>
    </row>
    <row r="55" spans="1:43" x14ac:dyDescent="0.25">
      <c r="A55">
        <v>12621</v>
      </c>
      <c r="B55">
        <v>200</v>
      </c>
      <c r="C55">
        <v>2444</v>
      </c>
      <c r="D55">
        <v>2</v>
      </c>
      <c r="E55">
        <v>1166</v>
      </c>
      <c r="F55">
        <v>11568</v>
      </c>
      <c r="G55">
        <v>1467</v>
      </c>
      <c r="H55">
        <v>1112</v>
      </c>
      <c r="I55">
        <v>1881</v>
      </c>
      <c r="J55">
        <v>13.52</v>
      </c>
      <c r="K55">
        <v>0.89</v>
      </c>
      <c r="L55">
        <v>7.59</v>
      </c>
      <c r="M55">
        <v>3.13</v>
      </c>
      <c r="N55">
        <v>0</v>
      </c>
      <c r="O55">
        <v>2.42</v>
      </c>
      <c r="P55">
        <v>23.96</v>
      </c>
      <c r="Q55">
        <v>0.62</v>
      </c>
      <c r="R55">
        <v>24.3</v>
      </c>
      <c r="S55">
        <v>29.48</v>
      </c>
      <c r="T55">
        <v>6.95</v>
      </c>
      <c r="U55">
        <v>14.37</v>
      </c>
      <c r="V55">
        <v>31.95</v>
      </c>
      <c r="W55">
        <v>4.46</v>
      </c>
      <c r="X55">
        <v>1203</v>
      </c>
      <c r="Y55">
        <v>1102</v>
      </c>
      <c r="Z55">
        <v>1118</v>
      </c>
      <c r="AA55">
        <v>1620</v>
      </c>
      <c r="AB55">
        <v>5448</v>
      </c>
      <c r="AC55">
        <v>685</v>
      </c>
      <c r="AD55">
        <v>5833</v>
      </c>
      <c r="AE55">
        <v>3162</v>
      </c>
      <c r="AF55">
        <v>5069</v>
      </c>
      <c r="AG55">
        <v>12.459</v>
      </c>
      <c r="AH55">
        <v>18969</v>
      </c>
      <c r="AI55">
        <v>0.66</v>
      </c>
      <c r="AJ55">
        <v>0.37</v>
      </c>
      <c r="AK55">
        <v>0.32108633995887198</v>
      </c>
      <c r="AL55">
        <v>2.1627262659398601</v>
      </c>
      <c r="AM55">
        <v>32.996198668310697</v>
      </c>
      <c r="AN55">
        <v>3.14</v>
      </c>
      <c r="AO55">
        <v>21.21</v>
      </c>
      <c r="AP55">
        <v>7.42</v>
      </c>
      <c r="AQ55">
        <v>10.11</v>
      </c>
    </row>
    <row r="56" spans="1:43" x14ac:dyDescent="0.25">
      <c r="A56">
        <v>6668</v>
      </c>
      <c r="B56">
        <v>906</v>
      </c>
      <c r="C56">
        <v>2347</v>
      </c>
      <c r="D56">
        <v>17</v>
      </c>
      <c r="E56">
        <v>849</v>
      </c>
      <c r="F56">
        <v>11275</v>
      </c>
      <c r="G56">
        <v>783</v>
      </c>
      <c r="H56">
        <v>593</v>
      </c>
      <c r="I56">
        <v>3084</v>
      </c>
      <c r="J56">
        <v>7.14</v>
      </c>
      <c r="K56">
        <v>4.0199999999999996</v>
      </c>
      <c r="L56">
        <v>7.29</v>
      </c>
      <c r="M56">
        <v>5.13</v>
      </c>
      <c r="N56">
        <v>0.04</v>
      </c>
      <c r="O56">
        <v>1.76</v>
      </c>
      <c r="P56">
        <v>23.35</v>
      </c>
      <c r="Q56">
        <v>2.81</v>
      </c>
      <c r="R56">
        <v>23.34</v>
      </c>
      <c r="S56">
        <v>30.09</v>
      </c>
      <c r="T56">
        <v>2.61</v>
      </c>
      <c r="U56">
        <v>7.7</v>
      </c>
      <c r="V56">
        <v>31.14</v>
      </c>
      <c r="W56">
        <v>9.99</v>
      </c>
      <c r="X56">
        <v>647</v>
      </c>
      <c r="Y56">
        <v>587</v>
      </c>
      <c r="Z56">
        <v>1090</v>
      </c>
      <c r="AA56">
        <v>1875</v>
      </c>
      <c r="AB56">
        <v>5081</v>
      </c>
      <c r="AC56">
        <v>637</v>
      </c>
      <c r="AD56">
        <v>6014</v>
      </c>
      <c r="AE56">
        <v>5184</v>
      </c>
      <c r="AF56">
        <v>6412</v>
      </c>
      <c r="AG56">
        <v>13.545</v>
      </c>
      <c r="AH56">
        <v>21314</v>
      </c>
      <c r="AI56">
        <v>0.57999999999999996</v>
      </c>
      <c r="AJ56">
        <v>0.37</v>
      </c>
      <c r="AK56">
        <v>0.32687217372594302</v>
      </c>
      <c r="AL56">
        <v>2.1738689133789602</v>
      </c>
      <c r="AM56">
        <v>32.0134796785864</v>
      </c>
      <c r="AN56">
        <v>13.82</v>
      </c>
      <c r="AO56">
        <v>11.25</v>
      </c>
      <c r="AP56">
        <v>2.16</v>
      </c>
      <c r="AQ56">
        <v>2.95</v>
      </c>
    </row>
    <row r="57" spans="1:43" x14ac:dyDescent="0.25">
      <c r="A57">
        <v>7154</v>
      </c>
      <c r="B57">
        <v>37</v>
      </c>
      <c r="C57">
        <v>2516</v>
      </c>
      <c r="D57">
        <v>161</v>
      </c>
      <c r="E57">
        <v>915</v>
      </c>
      <c r="F57">
        <v>11559</v>
      </c>
      <c r="G57">
        <v>1314</v>
      </c>
      <c r="H57">
        <v>996</v>
      </c>
      <c r="I57">
        <v>2150</v>
      </c>
      <c r="J57">
        <v>7.66</v>
      </c>
      <c r="K57">
        <v>0.16</v>
      </c>
      <c r="L57">
        <v>7.82</v>
      </c>
      <c r="M57">
        <v>3.58</v>
      </c>
      <c r="N57">
        <v>0.33</v>
      </c>
      <c r="O57">
        <v>1.9</v>
      </c>
      <c r="P57">
        <v>23.94</v>
      </c>
      <c r="Q57">
        <v>0.11</v>
      </c>
      <c r="R57">
        <v>25.01</v>
      </c>
      <c r="S57">
        <v>32.57</v>
      </c>
      <c r="T57">
        <v>2.79</v>
      </c>
      <c r="U57">
        <v>13.29</v>
      </c>
      <c r="V57">
        <v>31.92</v>
      </c>
      <c r="W57">
        <v>2.4300000000000002</v>
      </c>
      <c r="X57">
        <v>1136</v>
      </c>
      <c r="Y57">
        <v>988</v>
      </c>
      <c r="Z57">
        <v>1117</v>
      </c>
      <c r="AA57">
        <v>2034</v>
      </c>
      <c r="AB57">
        <v>5506</v>
      </c>
      <c r="AC57">
        <v>557</v>
      </c>
      <c r="AD57">
        <v>5903</v>
      </c>
      <c r="AE57">
        <v>3614</v>
      </c>
      <c r="AF57">
        <v>4657</v>
      </c>
      <c r="AG57">
        <v>14.262</v>
      </c>
      <c r="AH57">
        <v>18833</v>
      </c>
      <c r="AI57">
        <v>0.64</v>
      </c>
      <c r="AJ57">
        <v>0.37</v>
      </c>
      <c r="AK57">
        <v>0.52777045023126601</v>
      </c>
      <c r="AL57">
        <v>3.8685257969623401</v>
      </c>
      <c r="AM57">
        <v>20.0835947377611</v>
      </c>
      <c r="AN57">
        <v>7.88</v>
      </c>
      <c r="AO57">
        <v>24.45</v>
      </c>
      <c r="AP57">
        <v>10.45</v>
      </c>
      <c r="AQ57">
        <v>14.24</v>
      </c>
    </row>
    <row r="58" spans="1:43" x14ac:dyDescent="0.25">
      <c r="A58">
        <v>14132</v>
      </c>
      <c r="B58">
        <v>1946</v>
      </c>
      <c r="C58">
        <v>1846</v>
      </c>
      <c r="D58">
        <v>147</v>
      </c>
      <c r="E58">
        <v>765</v>
      </c>
      <c r="F58">
        <v>12073</v>
      </c>
      <c r="G58">
        <v>867</v>
      </c>
      <c r="H58">
        <v>657</v>
      </c>
      <c r="I58">
        <v>2936</v>
      </c>
      <c r="J58">
        <v>15.14</v>
      </c>
      <c r="K58">
        <v>8.64</v>
      </c>
      <c r="L58">
        <v>5.74</v>
      </c>
      <c r="M58">
        <v>4.88</v>
      </c>
      <c r="N58">
        <v>0.3</v>
      </c>
      <c r="O58">
        <v>1.58</v>
      </c>
      <c r="P58">
        <v>25.01</v>
      </c>
      <c r="Q58">
        <v>6.05</v>
      </c>
      <c r="R58">
        <v>18.36</v>
      </c>
      <c r="S58">
        <v>22.1</v>
      </c>
      <c r="T58">
        <v>9.0299999999999994</v>
      </c>
      <c r="U58">
        <v>8.8699999999999992</v>
      </c>
      <c r="V58">
        <v>33.340000000000003</v>
      </c>
      <c r="W58">
        <v>19.04</v>
      </c>
      <c r="X58">
        <v>766</v>
      </c>
      <c r="Y58">
        <v>651</v>
      </c>
      <c r="Z58">
        <v>1167</v>
      </c>
      <c r="AA58">
        <v>1025</v>
      </c>
      <c r="AB58">
        <v>5267</v>
      </c>
      <c r="AC58">
        <v>910</v>
      </c>
      <c r="AD58">
        <v>5824</v>
      </c>
      <c r="AE58">
        <v>4935</v>
      </c>
      <c r="AF58">
        <v>7582</v>
      </c>
      <c r="AG58">
        <v>10.722</v>
      </c>
      <c r="AH58">
        <v>22601</v>
      </c>
      <c r="AI58">
        <v>0.56999999999999995</v>
      </c>
      <c r="AJ58">
        <v>0.38</v>
      </c>
      <c r="AK58">
        <v>0.145298986352318</v>
      </c>
      <c r="AL58">
        <v>0.43597760423604798</v>
      </c>
      <c r="AM58">
        <v>29.392991496756601</v>
      </c>
      <c r="AN58">
        <v>4.3499999999999996</v>
      </c>
      <c r="AO58">
        <v>24.4</v>
      </c>
      <c r="AP58">
        <v>4.75</v>
      </c>
      <c r="AQ58">
        <v>6.47</v>
      </c>
    </row>
    <row r="59" spans="1:43" x14ac:dyDescent="0.25">
      <c r="A59">
        <v>14057</v>
      </c>
      <c r="B59">
        <v>1754</v>
      </c>
      <c r="C59">
        <v>1905</v>
      </c>
      <c r="D59">
        <v>203</v>
      </c>
      <c r="E59">
        <v>700</v>
      </c>
      <c r="F59">
        <v>12091</v>
      </c>
      <c r="G59">
        <v>867</v>
      </c>
      <c r="H59">
        <v>657</v>
      </c>
      <c r="I59">
        <v>2936</v>
      </c>
      <c r="J59">
        <v>15.06</v>
      </c>
      <c r="K59">
        <v>7.78</v>
      </c>
      <c r="L59">
        <v>5.92</v>
      </c>
      <c r="M59">
        <v>4.88</v>
      </c>
      <c r="N59">
        <v>0.42</v>
      </c>
      <c r="O59">
        <v>1.45</v>
      </c>
      <c r="P59">
        <v>25.04</v>
      </c>
      <c r="Q59">
        <v>5.45</v>
      </c>
      <c r="R59">
        <v>18.940000000000001</v>
      </c>
      <c r="S59">
        <v>23.03</v>
      </c>
      <c r="T59">
        <v>8.86</v>
      </c>
      <c r="U59">
        <v>9.01</v>
      </c>
      <c r="V59">
        <v>33.39</v>
      </c>
      <c r="W59">
        <v>17.18</v>
      </c>
      <c r="X59">
        <v>787</v>
      </c>
      <c r="Y59">
        <v>651</v>
      </c>
      <c r="Z59">
        <v>1168</v>
      </c>
      <c r="AA59">
        <v>1095</v>
      </c>
      <c r="AB59">
        <v>5199</v>
      </c>
      <c r="AC59">
        <v>887</v>
      </c>
      <c r="AD59">
        <v>5841</v>
      </c>
      <c r="AE59">
        <v>4935</v>
      </c>
      <c r="AF59">
        <v>7516</v>
      </c>
      <c r="AG59">
        <v>10.765000000000001</v>
      </c>
      <c r="AH59">
        <v>22461</v>
      </c>
      <c r="AI59">
        <v>0.57999999999999996</v>
      </c>
      <c r="AJ59">
        <v>0.38</v>
      </c>
      <c r="AK59">
        <v>2.33670315547258E-3</v>
      </c>
      <c r="AL59">
        <v>0.67200659837253296</v>
      </c>
      <c r="AM59">
        <v>33.551299785952096</v>
      </c>
      <c r="AN59">
        <v>15.6</v>
      </c>
      <c r="AO59">
        <v>9.93</v>
      </c>
      <c r="AP59">
        <v>1.03</v>
      </c>
      <c r="AQ59">
        <v>1.4</v>
      </c>
    </row>
    <row r="60" spans="1:43" x14ac:dyDescent="0.25">
      <c r="A60">
        <v>14051</v>
      </c>
      <c r="B60">
        <v>1393</v>
      </c>
      <c r="C60">
        <v>2017</v>
      </c>
      <c r="D60">
        <v>147</v>
      </c>
      <c r="E60">
        <v>731</v>
      </c>
      <c r="F60">
        <v>12117</v>
      </c>
      <c r="G60">
        <v>1134</v>
      </c>
      <c r="H60">
        <v>859</v>
      </c>
      <c r="I60">
        <v>2467</v>
      </c>
      <c r="J60">
        <v>15.05</v>
      </c>
      <c r="K60">
        <v>6.18</v>
      </c>
      <c r="L60">
        <v>6.27</v>
      </c>
      <c r="M60">
        <v>4.0999999999999996</v>
      </c>
      <c r="N60">
        <v>0.3</v>
      </c>
      <c r="O60">
        <v>1.51</v>
      </c>
      <c r="P60">
        <v>25.1</v>
      </c>
      <c r="Q60">
        <v>4.33</v>
      </c>
      <c r="R60">
        <v>20.05</v>
      </c>
      <c r="S60">
        <v>24.01</v>
      </c>
      <c r="T60">
        <v>8.66</v>
      </c>
      <c r="U60">
        <v>11.48</v>
      </c>
      <c r="V60">
        <v>33.46</v>
      </c>
      <c r="W60">
        <v>14.05</v>
      </c>
      <c r="X60">
        <v>983</v>
      </c>
      <c r="Y60">
        <v>852</v>
      </c>
      <c r="Z60">
        <v>1171</v>
      </c>
      <c r="AA60">
        <v>1174</v>
      </c>
      <c r="AB60">
        <v>5410</v>
      </c>
      <c r="AC60">
        <v>848</v>
      </c>
      <c r="AD60">
        <v>5795</v>
      </c>
      <c r="AE60">
        <v>4147</v>
      </c>
      <c r="AF60">
        <v>6626</v>
      </c>
      <c r="AG60">
        <v>11.179</v>
      </c>
      <c r="AH60">
        <v>21215</v>
      </c>
      <c r="AI60">
        <v>0.6</v>
      </c>
      <c r="AJ60">
        <v>0.38</v>
      </c>
      <c r="AK60">
        <v>0.35020668254950299</v>
      </c>
      <c r="AL60">
        <v>2.26878386858652</v>
      </c>
      <c r="AM60">
        <v>31.7863093725711</v>
      </c>
      <c r="AN60">
        <v>1.38</v>
      </c>
      <c r="AO60">
        <v>23.76</v>
      </c>
      <c r="AP60">
        <v>2.46</v>
      </c>
      <c r="AQ60">
        <v>3.35</v>
      </c>
    </row>
    <row r="61" spans="1:43" x14ac:dyDescent="0.25">
      <c r="A61">
        <v>12060</v>
      </c>
      <c r="B61">
        <v>1401</v>
      </c>
      <c r="C61">
        <v>2454</v>
      </c>
      <c r="D61">
        <v>56</v>
      </c>
      <c r="E61">
        <v>189</v>
      </c>
      <c r="F61">
        <v>10643</v>
      </c>
      <c r="G61">
        <v>1145</v>
      </c>
      <c r="H61">
        <v>868</v>
      </c>
      <c r="I61">
        <v>2447</v>
      </c>
      <c r="J61">
        <v>12.92</v>
      </c>
      <c r="K61">
        <v>6.22</v>
      </c>
      <c r="L61">
        <v>7.62</v>
      </c>
      <c r="M61">
        <v>4.07</v>
      </c>
      <c r="N61">
        <v>0.12</v>
      </c>
      <c r="O61">
        <v>0.39</v>
      </c>
      <c r="P61">
        <v>22.04</v>
      </c>
      <c r="Q61">
        <v>4.3499999999999996</v>
      </c>
      <c r="R61">
        <v>24.4</v>
      </c>
      <c r="S61">
        <v>25.61</v>
      </c>
      <c r="T61">
        <v>6.83</v>
      </c>
      <c r="U61">
        <v>11.37</v>
      </c>
      <c r="V61">
        <v>29.39</v>
      </c>
      <c r="W61">
        <v>12.87</v>
      </c>
      <c r="X61">
        <v>959</v>
      </c>
      <c r="Y61">
        <v>861</v>
      </c>
      <c r="Z61">
        <v>1029</v>
      </c>
      <c r="AA61">
        <v>1375</v>
      </c>
      <c r="AB61">
        <v>5352</v>
      </c>
      <c r="AC61">
        <v>786</v>
      </c>
      <c r="AD61">
        <v>5937</v>
      </c>
      <c r="AE61">
        <v>4113</v>
      </c>
      <c r="AF61">
        <v>6321</v>
      </c>
      <c r="AG61">
        <v>12.089</v>
      </c>
      <c r="AH61">
        <v>20911</v>
      </c>
      <c r="AI61">
        <v>0.57999999999999996</v>
      </c>
      <c r="AJ61">
        <v>0.38</v>
      </c>
      <c r="AK61">
        <v>0.39090191736685398</v>
      </c>
      <c r="AL61">
        <v>0.183242346901831</v>
      </c>
      <c r="AM61">
        <v>30.981457072805799</v>
      </c>
      <c r="AN61">
        <v>12.44</v>
      </c>
      <c r="AO61">
        <v>15.14</v>
      </c>
      <c r="AP61">
        <v>7.6</v>
      </c>
      <c r="AQ61">
        <v>10.36</v>
      </c>
    </row>
    <row r="62" spans="1:43" x14ac:dyDescent="0.25">
      <c r="A62">
        <v>12621</v>
      </c>
      <c r="B62">
        <v>567</v>
      </c>
      <c r="C62">
        <v>2507</v>
      </c>
      <c r="D62">
        <v>2</v>
      </c>
      <c r="E62">
        <v>1166</v>
      </c>
      <c r="F62">
        <v>10714</v>
      </c>
      <c r="G62">
        <v>1467</v>
      </c>
      <c r="H62">
        <v>1112</v>
      </c>
      <c r="I62">
        <v>1881</v>
      </c>
      <c r="J62">
        <v>13.52</v>
      </c>
      <c r="K62">
        <v>2.52</v>
      </c>
      <c r="L62">
        <v>7.79</v>
      </c>
      <c r="M62">
        <v>3.13</v>
      </c>
      <c r="N62">
        <v>0</v>
      </c>
      <c r="O62">
        <v>2.42</v>
      </c>
      <c r="P62">
        <v>22.19</v>
      </c>
      <c r="Q62">
        <v>1.76</v>
      </c>
      <c r="R62">
        <v>24.93</v>
      </c>
      <c r="S62">
        <v>28.14</v>
      </c>
      <c r="T62">
        <v>7.04</v>
      </c>
      <c r="U62">
        <v>14.37</v>
      </c>
      <c r="V62">
        <v>29.59</v>
      </c>
      <c r="W62">
        <v>7.72</v>
      </c>
      <c r="X62">
        <v>1203</v>
      </c>
      <c r="Y62">
        <v>1102</v>
      </c>
      <c r="Z62">
        <v>1035</v>
      </c>
      <c r="AA62">
        <v>1530</v>
      </c>
      <c r="AB62">
        <v>5556</v>
      </c>
      <c r="AC62">
        <v>716</v>
      </c>
      <c r="AD62">
        <v>5854</v>
      </c>
      <c r="AE62">
        <v>3162</v>
      </c>
      <c r="AF62">
        <v>5171</v>
      </c>
      <c r="AG62">
        <v>12.63</v>
      </c>
      <c r="AH62">
        <v>19231</v>
      </c>
      <c r="AI62">
        <v>0.64</v>
      </c>
      <c r="AJ62">
        <v>0.38</v>
      </c>
      <c r="AK62">
        <v>2.3809189449627299E-2</v>
      </c>
      <c r="AL62">
        <v>1.6418485249913</v>
      </c>
      <c r="AM62">
        <v>31.4737403294824</v>
      </c>
      <c r="AN62">
        <v>5.89</v>
      </c>
      <c r="AO62">
        <v>20.309999999999999</v>
      </c>
      <c r="AP62">
        <v>0.89</v>
      </c>
      <c r="AQ62">
        <v>1.21</v>
      </c>
    </row>
    <row r="63" spans="1:43" x14ac:dyDescent="0.25">
      <c r="A63">
        <v>8079</v>
      </c>
      <c r="B63">
        <v>1626</v>
      </c>
      <c r="C63">
        <v>1988</v>
      </c>
      <c r="D63">
        <v>85</v>
      </c>
      <c r="E63">
        <v>955</v>
      </c>
      <c r="F63">
        <v>11746</v>
      </c>
      <c r="G63">
        <v>757</v>
      </c>
      <c r="H63">
        <v>574</v>
      </c>
      <c r="I63">
        <v>3129</v>
      </c>
      <c r="J63">
        <v>8.66</v>
      </c>
      <c r="K63">
        <v>7.22</v>
      </c>
      <c r="L63">
        <v>6.18</v>
      </c>
      <c r="M63">
        <v>5.2</v>
      </c>
      <c r="N63">
        <v>0.18</v>
      </c>
      <c r="O63">
        <v>1.98</v>
      </c>
      <c r="P63">
        <v>24.33</v>
      </c>
      <c r="Q63">
        <v>5.05</v>
      </c>
      <c r="R63">
        <v>19.77</v>
      </c>
      <c r="S63">
        <v>25.54</v>
      </c>
      <c r="T63">
        <v>3.81</v>
      </c>
      <c r="U63">
        <v>7.64</v>
      </c>
      <c r="V63">
        <v>32.44</v>
      </c>
      <c r="W63">
        <v>16.63</v>
      </c>
      <c r="X63">
        <v>653</v>
      </c>
      <c r="Y63">
        <v>569</v>
      </c>
      <c r="Z63">
        <v>1135</v>
      </c>
      <c r="AA63">
        <v>1524</v>
      </c>
      <c r="AB63">
        <v>5333</v>
      </c>
      <c r="AC63">
        <v>751</v>
      </c>
      <c r="AD63">
        <v>5904</v>
      </c>
      <c r="AE63">
        <v>5260</v>
      </c>
      <c r="AF63">
        <v>6897</v>
      </c>
      <c r="AG63">
        <v>12.898999999999999</v>
      </c>
      <c r="AH63">
        <v>22101</v>
      </c>
      <c r="AI63">
        <v>0.53</v>
      </c>
      <c r="AJ63">
        <v>0.38</v>
      </c>
      <c r="AK63">
        <v>0.34445922332611401</v>
      </c>
      <c r="AL63">
        <v>7.9292221722423603E-2</v>
      </c>
      <c r="AM63">
        <v>17.4051710694877</v>
      </c>
      <c r="AN63">
        <v>11.67</v>
      </c>
      <c r="AO63">
        <v>26.23</v>
      </c>
      <c r="AP63">
        <v>10.32</v>
      </c>
      <c r="AQ63">
        <v>14.07</v>
      </c>
    </row>
    <row r="64" spans="1:43" x14ac:dyDescent="0.25">
      <c r="A64">
        <v>13102</v>
      </c>
      <c r="B64">
        <v>3021</v>
      </c>
      <c r="C64">
        <v>1575</v>
      </c>
      <c r="D64">
        <v>475</v>
      </c>
      <c r="E64">
        <v>1124</v>
      </c>
      <c r="F64">
        <v>11077</v>
      </c>
      <c r="G64">
        <v>140</v>
      </c>
      <c r="H64">
        <v>106</v>
      </c>
      <c r="I64">
        <v>4214</v>
      </c>
      <c r="J64">
        <v>14.04</v>
      </c>
      <c r="K64">
        <v>13.41</v>
      </c>
      <c r="L64">
        <v>4.8899999999999997</v>
      </c>
      <c r="M64">
        <v>7.01</v>
      </c>
      <c r="N64">
        <v>0.98</v>
      </c>
      <c r="O64">
        <v>2.33</v>
      </c>
      <c r="P64">
        <v>22.94</v>
      </c>
      <c r="Q64">
        <v>9.39</v>
      </c>
      <c r="R64">
        <v>15.66</v>
      </c>
      <c r="S64">
        <v>19.5</v>
      </c>
      <c r="T64">
        <v>8.82</v>
      </c>
      <c r="U64">
        <v>2.6</v>
      </c>
      <c r="V64">
        <v>30.59</v>
      </c>
      <c r="W64">
        <v>29.4</v>
      </c>
      <c r="X64">
        <v>293</v>
      </c>
      <c r="Y64">
        <v>105</v>
      </c>
      <c r="Z64">
        <v>1070</v>
      </c>
      <c r="AA64">
        <v>854</v>
      </c>
      <c r="AB64">
        <v>4873</v>
      </c>
      <c r="AC64">
        <v>1004</v>
      </c>
      <c r="AD64">
        <v>5960</v>
      </c>
      <c r="AE64">
        <v>7084</v>
      </c>
      <c r="AF64">
        <v>9846</v>
      </c>
      <c r="AG64">
        <v>10.369</v>
      </c>
      <c r="AH64">
        <v>26015</v>
      </c>
      <c r="AI64">
        <v>0.51</v>
      </c>
      <c r="AJ64">
        <v>0.39</v>
      </c>
      <c r="AK64">
        <v>0.22237416484185199</v>
      </c>
      <c r="AL64">
        <v>3.4396934053067998</v>
      </c>
      <c r="AM64">
        <v>32.991564339460901</v>
      </c>
      <c r="AN64">
        <v>10.039999999999999</v>
      </c>
      <c r="AO64">
        <v>13.24</v>
      </c>
      <c r="AP64">
        <v>8.5500000000000007</v>
      </c>
      <c r="AQ64">
        <v>11.65</v>
      </c>
    </row>
    <row r="65" spans="1:43" x14ac:dyDescent="0.25">
      <c r="A65">
        <v>14105</v>
      </c>
      <c r="B65">
        <v>1116</v>
      </c>
      <c r="C65">
        <v>2179</v>
      </c>
      <c r="D65">
        <v>43</v>
      </c>
      <c r="E65">
        <v>1033</v>
      </c>
      <c r="F65">
        <v>11559</v>
      </c>
      <c r="G65">
        <v>1314</v>
      </c>
      <c r="H65">
        <v>996</v>
      </c>
      <c r="I65">
        <v>2150</v>
      </c>
      <c r="J65">
        <v>15.11</v>
      </c>
      <c r="K65">
        <v>4.95</v>
      </c>
      <c r="L65">
        <v>6.77</v>
      </c>
      <c r="M65">
        <v>3.58</v>
      </c>
      <c r="N65">
        <v>0.09</v>
      </c>
      <c r="O65">
        <v>2.14</v>
      </c>
      <c r="P65">
        <v>23.94</v>
      </c>
      <c r="Q65">
        <v>3.47</v>
      </c>
      <c r="R65">
        <v>21.66</v>
      </c>
      <c r="S65">
        <v>25.06</v>
      </c>
      <c r="T65">
        <v>8.5500000000000007</v>
      </c>
      <c r="U65">
        <v>12.98</v>
      </c>
      <c r="V65">
        <v>31.92</v>
      </c>
      <c r="W65">
        <v>12.28</v>
      </c>
      <c r="X65">
        <v>1092</v>
      </c>
      <c r="Y65">
        <v>988</v>
      </c>
      <c r="Z65">
        <v>1117</v>
      </c>
      <c r="AA65">
        <v>1249</v>
      </c>
      <c r="AB65">
        <v>5525</v>
      </c>
      <c r="AC65">
        <v>814</v>
      </c>
      <c r="AD65">
        <v>5794</v>
      </c>
      <c r="AE65">
        <v>3614</v>
      </c>
      <c r="AF65">
        <v>6010</v>
      </c>
      <c r="AG65">
        <v>11.609</v>
      </c>
      <c r="AH65">
        <v>20353</v>
      </c>
      <c r="AI65">
        <v>0.62</v>
      </c>
      <c r="AJ65">
        <v>0.39</v>
      </c>
      <c r="AK65">
        <v>8.09960307993534E-2</v>
      </c>
      <c r="AL65">
        <v>1.38221093905496</v>
      </c>
      <c r="AM65">
        <v>33.362940386889797</v>
      </c>
      <c r="AN65">
        <v>1.1200000000000001</v>
      </c>
      <c r="AO65">
        <v>23.85</v>
      </c>
      <c r="AP65">
        <v>8.08</v>
      </c>
      <c r="AQ65">
        <v>11.01</v>
      </c>
    </row>
    <row r="66" spans="1:43" x14ac:dyDescent="0.25">
      <c r="A66">
        <v>13016</v>
      </c>
      <c r="B66">
        <v>1517</v>
      </c>
      <c r="C66">
        <v>2417</v>
      </c>
      <c r="D66">
        <v>56</v>
      </c>
      <c r="E66">
        <v>784</v>
      </c>
      <c r="F66">
        <v>10049</v>
      </c>
      <c r="G66">
        <v>1145</v>
      </c>
      <c r="H66">
        <v>868</v>
      </c>
      <c r="I66">
        <v>2447</v>
      </c>
      <c r="J66">
        <v>13.94</v>
      </c>
      <c r="K66">
        <v>6.73</v>
      </c>
      <c r="L66">
        <v>7.51</v>
      </c>
      <c r="M66">
        <v>4.07</v>
      </c>
      <c r="N66">
        <v>0.12</v>
      </c>
      <c r="O66">
        <v>1.62</v>
      </c>
      <c r="P66">
        <v>20.81</v>
      </c>
      <c r="Q66">
        <v>4.71</v>
      </c>
      <c r="R66">
        <v>24.03</v>
      </c>
      <c r="S66">
        <v>24.82</v>
      </c>
      <c r="T66">
        <v>7.69</v>
      </c>
      <c r="U66">
        <v>11.37</v>
      </c>
      <c r="V66">
        <v>27.75</v>
      </c>
      <c r="W66">
        <v>15.27</v>
      </c>
      <c r="X66">
        <v>959</v>
      </c>
      <c r="Y66">
        <v>861</v>
      </c>
      <c r="Z66">
        <v>971</v>
      </c>
      <c r="AA66">
        <v>1278</v>
      </c>
      <c r="AB66">
        <v>5404</v>
      </c>
      <c r="AC66">
        <v>818</v>
      </c>
      <c r="AD66">
        <v>5925</v>
      </c>
      <c r="AE66">
        <v>4113</v>
      </c>
      <c r="AF66">
        <v>6467</v>
      </c>
      <c r="AG66">
        <v>12.009</v>
      </c>
      <c r="AH66">
        <v>21129</v>
      </c>
      <c r="AI66">
        <v>0.57999999999999996</v>
      </c>
      <c r="AJ66">
        <v>0.39</v>
      </c>
      <c r="AK66">
        <v>0.52777045023126601</v>
      </c>
      <c r="AL66">
        <v>1.2636480322766801</v>
      </c>
      <c r="AM66">
        <v>28.8872493594851</v>
      </c>
      <c r="AN66">
        <v>3.73</v>
      </c>
      <c r="AO66">
        <v>24.35</v>
      </c>
      <c r="AP66">
        <v>10.39</v>
      </c>
      <c r="AQ66">
        <v>14.16</v>
      </c>
    </row>
    <row r="67" spans="1:43" x14ac:dyDescent="0.25">
      <c r="A67">
        <v>14091</v>
      </c>
      <c r="B67">
        <v>626</v>
      </c>
      <c r="C67">
        <v>2486</v>
      </c>
      <c r="D67">
        <v>3</v>
      </c>
      <c r="E67">
        <v>22</v>
      </c>
      <c r="F67">
        <v>11873</v>
      </c>
      <c r="G67">
        <v>1924</v>
      </c>
      <c r="H67">
        <v>1458</v>
      </c>
      <c r="I67">
        <v>1078</v>
      </c>
      <c r="J67">
        <v>15.1</v>
      </c>
      <c r="K67">
        <v>2.78</v>
      </c>
      <c r="L67">
        <v>7.72</v>
      </c>
      <c r="M67">
        <v>1.79</v>
      </c>
      <c r="N67">
        <v>0.01</v>
      </c>
      <c r="O67">
        <v>0.05</v>
      </c>
      <c r="P67">
        <v>24.59</v>
      </c>
      <c r="Q67">
        <v>1.94</v>
      </c>
      <c r="R67">
        <v>24.71</v>
      </c>
      <c r="S67">
        <v>26.18</v>
      </c>
      <c r="T67">
        <v>8.31</v>
      </c>
      <c r="U67">
        <v>18.84</v>
      </c>
      <c r="V67">
        <v>32.79</v>
      </c>
      <c r="W67">
        <v>5.6</v>
      </c>
      <c r="X67">
        <v>1576</v>
      </c>
      <c r="Y67">
        <v>1445</v>
      </c>
      <c r="Z67">
        <v>1147</v>
      </c>
      <c r="AA67">
        <v>1347</v>
      </c>
      <c r="AB67">
        <v>6018</v>
      </c>
      <c r="AC67">
        <v>752</v>
      </c>
      <c r="AD67">
        <v>5707</v>
      </c>
      <c r="AE67">
        <v>1812</v>
      </c>
      <c r="AF67">
        <v>4119</v>
      </c>
      <c r="AG67">
        <v>12.252000000000001</v>
      </c>
      <c r="AH67">
        <v>17704</v>
      </c>
      <c r="AI67">
        <v>0.64</v>
      </c>
      <c r="AJ67">
        <v>0.39</v>
      </c>
      <c r="AK67">
        <v>0.27841497130910098</v>
      </c>
      <c r="AL67">
        <v>1.72641918855828</v>
      </c>
      <c r="AM67">
        <v>32.704917282311399</v>
      </c>
      <c r="AN67">
        <v>0.91</v>
      </c>
      <c r="AO67">
        <v>24.08</v>
      </c>
      <c r="AP67">
        <v>7.49</v>
      </c>
      <c r="AQ67">
        <v>10.199999999999999</v>
      </c>
    </row>
    <row r="68" spans="1:43" x14ac:dyDescent="0.25">
      <c r="A68">
        <v>14363</v>
      </c>
      <c r="B68">
        <v>435</v>
      </c>
      <c r="C68">
        <v>2499</v>
      </c>
      <c r="D68">
        <v>57</v>
      </c>
      <c r="E68">
        <v>792</v>
      </c>
      <c r="F68">
        <v>11271</v>
      </c>
      <c r="G68">
        <v>1924</v>
      </c>
      <c r="H68">
        <v>1459</v>
      </c>
      <c r="I68">
        <v>1077</v>
      </c>
      <c r="J68">
        <v>15.39</v>
      </c>
      <c r="K68">
        <v>1.93</v>
      </c>
      <c r="L68">
        <v>7.76</v>
      </c>
      <c r="M68">
        <v>1.79</v>
      </c>
      <c r="N68">
        <v>0.12</v>
      </c>
      <c r="O68">
        <v>1.64</v>
      </c>
      <c r="P68">
        <v>23.35</v>
      </c>
      <c r="Q68">
        <v>1.35</v>
      </c>
      <c r="R68">
        <v>24.85</v>
      </c>
      <c r="S68">
        <v>26.95</v>
      </c>
      <c r="T68">
        <v>8.49</v>
      </c>
      <c r="U68">
        <v>18.989999999999998</v>
      </c>
      <c r="V68">
        <v>31.13</v>
      </c>
      <c r="W68">
        <v>5.68</v>
      </c>
      <c r="X68">
        <v>1598</v>
      </c>
      <c r="Y68">
        <v>1445</v>
      </c>
      <c r="Z68">
        <v>1089</v>
      </c>
      <c r="AA68">
        <v>1386</v>
      </c>
      <c r="AB68">
        <v>6028</v>
      </c>
      <c r="AC68">
        <v>739</v>
      </c>
      <c r="AD68">
        <v>5710</v>
      </c>
      <c r="AE68">
        <v>1810</v>
      </c>
      <c r="AF68">
        <v>4061</v>
      </c>
      <c r="AG68">
        <v>12.513</v>
      </c>
      <c r="AH68">
        <v>17645</v>
      </c>
      <c r="AI68">
        <v>0.66</v>
      </c>
      <c r="AJ68">
        <v>0.39</v>
      </c>
      <c r="AK68">
        <v>9.0976099550239102E-3</v>
      </c>
      <c r="AL68">
        <v>2.3907890014693001</v>
      </c>
      <c r="AM68">
        <v>32.049492942677396</v>
      </c>
      <c r="AN68">
        <v>7.78</v>
      </c>
      <c r="AO68">
        <v>17.329999999999998</v>
      </c>
      <c r="AP68">
        <v>6.34</v>
      </c>
      <c r="AQ68">
        <v>8.64</v>
      </c>
    </row>
    <row r="69" spans="1:43" x14ac:dyDescent="0.25">
      <c r="A69">
        <v>7908</v>
      </c>
      <c r="B69">
        <v>2216</v>
      </c>
      <c r="C69">
        <v>1762</v>
      </c>
      <c r="D69">
        <v>147</v>
      </c>
      <c r="E69">
        <v>765</v>
      </c>
      <c r="F69">
        <v>12074</v>
      </c>
      <c r="G69">
        <v>570</v>
      </c>
      <c r="H69">
        <v>432</v>
      </c>
      <c r="I69">
        <v>3458</v>
      </c>
      <c r="J69">
        <v>8.4700000000000006</v>
      </c>
      <c r="K69">
        <v>9.83</v>
      </c>
      <c r="L69">
        <v>5.47</v>
      </c>
      <c r="M69">
        <v>5.75</v>
      </c>
      <c r="N69">
        <v>0.3</v>
      </c>
      <c r="O69">
        <v>1.58</v>
      </c>
      <c r="P69">
        <v>25.01</v>
      </c>
      <c r="Q69">
        <v>6.88</v>
      </c>
      <c r="R69">
        <v>17.52</v>
      </c>
      <c r="S69">
        <v>23.08</v>
      </c>
      <c r="T69">
        <v>3.94</v>
      </c>
      <c r="U69">
        <v>5.96</v>
      </c>
      <c r="V69">
        <v>33.340000000000003</v>
      </c>
      <c r="W69">
        <v>21.43</v>
      </c>
      <c r="X69">
        <v>522</v>
      </c>
      <c r="Y69">
        <v>428</v>
      </c>
      <c r="Z69">
        <v>1167</v>
      </c>
      <c r="AA69">
        <v>1357</v>
      </c>
      <c r="AB69">
        <v>5338</v>
      </c>
      <c r="AC69">
        <v>815</v>
      </c>
      <c r="AD69">
        <v>5886</v>
      </c>
      <c r="AE69">
        <v>5813</v>
      </c>
      <c r="AF69">
        <v>7601</v>
      </c>
      <c r="AG69">
        <v>12.544</v>
      </c>
      <c r="AH69">
        <v>23195</v>
      </c>
      <c r="AI69">
        <v>0.49</v>
      </c>
      <c r="AJ69">
        <v>0.39</v>
      </c>
      <c r="AK69">
        <v>0.29476165093805701</v>
      </c>
      <c r="AL69">
        <v>3.20307798373398</v>
      </c>
      <c r="AM69">
        <v>31.341129781207702</v>
      </c>
      <c r="AN69">
        <v>0.46</v>
      </c>
      <c r="AO69">
        <v>24.22</v>
      </c>
      <c r="AP69">
        <v>1.1399999999999999</v>
      </c>
      <c r="AQ69">
        <v>1.56</v>
      </c>
    </row>
    <row r="70" spans="1:43" x14ac:dyDescent="0.25">
      <c r="A70">
        <v>12628</v>
      </c>
      <c r="B70">
        <v>360</v>
      </c>
      <c r="C70">
        <v>2399</v>
      </c>
      <c r="D70">
        <v>31</v>
      </c>
      <c r="E70">
        <v>601</v>
      </c>
      <c r="F70">
        <v>12080</v>
      </c>
      <c r="G70">
        <v>1949</v>
      </c>
      <c r="H70">
        <v>1478</v>
      </c>
      <c r="I70">
        <v>1033</v>
      </c>
      <c r="J70">
        <v>13.53</v>
      </c>
      <c r="K70">
        <v>1.6</v>
      </c>
      <c r="L70">
        <v>7.45</v>
      </c>
      <c r="M70">
        <v>1.72</v>
      </c>
      <c r="N70">
        <v>0.06</v>
      </c>
      <c r="O70">
        <v>1.24</v>
      </c>
      <c r="P70">
        <v>25.02</v>
      </c>
      <c r="Q70">
        <v>1.1200000000000001</v>
      </c>
      <c r="R70">
        <v>23.85</v>
      </c>
      <c r="S70">
        <v>27.28</v>
      </c>
      <c r="T70">
        <v>7.01</v>
      </c>
      <c r="U70">
        <v>19.170000000000002</v>
      </c>
      <c r="V70">
        <v>33.36</v>
      </c>
      <c r="W70">
        <v>4.58</v>
      </c>
      <c r="X70">
        <v>1608</v>
      </c>
      <c r="Y70">
        <v>1465</v>
      </c>
      <c r="Z70">
        <v>1167</v>
      </c>
      <c r="AA70">
        <v>1488</v>
      </c>
      <c r="AB70">
        <v>6143</v>
      </c>
      <c r="AC70">
        <v>703</v>
      </c>
      <c r="AD70">
        <v>5670</v>
      </c>
      <c r="AE70">
        <v>1736</v>
      </c>
      <c r="AF70">
        <v>3718</v>
      </c>
      <c r="AG70">
        <v>12.959</v>
      </c>
      <c r="AH70">
        <v>17296</v>
      </c>
      <c r="AI70">
        <v>0.64</v>
      </c>
      <c r="AJ70">
        <v>0.39</v>
      </c>
      <c r="AK70">
        <v>0.35755534190892202</v>
      </c>
      <c r="AL70">
        <v>2.41066163569405</v>
      </c>
      <c r="AM70">
        <v>31.7276955622984</v>
      </c>
      <c r="AN70">
        <v>0.09</v>
      </c>
      <c r="AO70">
        <v>24.96</v>
      </c>
      <c r="AP70">
        <v>8.07</v>
      </c>
      <c r="AQ70">
        <v>11.01</v>
      </c>
    </row>
    <row r="71" spans="1:43" x14ac:dyDescent="0.25">
      <c r="A71">
        <v>5709</v>
      </c>
      <c r="B71">
        <v>2261</v>
      </c>
      <c r="C71">
        <v>1941</v>
      </c>
      <c r="D71">
        <v>6</v>
      </c>
      <c r="E71">
        <v>1436</v>
      </c>
      <c r="F71">
        <v>10616</v>
      </c>
      <c r="G71">
        <v>207</v>
      </c>
      <c r="H71">
        <v>157</v>
      </c>
      <c r="I71">
        <v>4096</v>
      </c>
      <c r="J71">
        <v>6.12</v>
      </c>
      <c r="K71">
        <v>10.029999999999999</v>
      </c>
      <c r="L71">
        <v>6.03</v>
      </c>
      <c r="M71">
        <v>6.81</v>
      </c>
      <c r="N71">
        <v>0.01</v>
      </c>
      <c r="O71">
        <v>2.97</v>
      </c>
      <c r="P71">
        <v>21.99</v>
      </c>
      <c r="Q71">
        <v>7.02</v>
      </c>
      <c r="R71">
        <v>19.3</v>
      </c>
      <c r="S71">
        <v>25.27</v>
      </c>
      <c r="T71">
        <v>2.36</v>
      </c>
      <c r="U71">
        <v>2.04</v>
      </c>
      <c r="V71">
        <v>29.32</v>
      </c>
      <c r="W71">
        <v>23.37</v>
      </c>
      <c r="X71">
        <v>172</v>
      </c>
      <c r="Y71">
        <v>156</v>
      </c>
      <c r="Z71">
        <v>1026</v>
      </c>
      <c r="AA71">
        <v>1571</v>
      </c>
      <c r="AB71">
        <v>4956</v>
      </c>
      <c r="AC71">
        <v>766</v>
      </c>
      <c r="AD71">
        <v>6058</v>
      </c>
      <c r="AE71">
        <v>6885</v>
      </c>
      <c r="AF71">
        <v>8325</v>
      </c>
      <c r="AG71">
        <v>13.215</v>
      </c>
      <c r="AH71">
        <v>24315</v>
      </c>
      <c r="AI71">
        <v>0.48</v>
      </c>
      <c r="AJ71">
        <v>0.39</v>
      </c>
      <c r="AK71">
        <v>1.06516921768984</v>
      </c>
      <c r="AL71">
        <v>0.98303931195447702</v>
      </c>
      <c r="AM71">
        <v>32.681092528750497</v>
      </c>
      <c r="AN71">
        <v>0.28999999999999998</v>
      </c>
      <c r="AO71">
        <v>24.76</v>
      </c>
      <c r="AP71">
        <v>1.06</v>
      </c>
      <c r="AQ71">
        <v>1.45</v>
      </c>
    </row>
    <row r="72" spans="1:43" x14ac:dyDescent="0.25">
      <c r="A72">
        <v>10664</v>
      </c>
      <c r="B72">
        <v>294</v>
      </c>
      <c r="C72">
        <v>2422</v>
      </c>
      <c r="D72">
        <v>108</v>
      </c>
      <c r="E72">
        <v>750</v>
      </c>
      <c r="F72">
        <v>11842</v>
      </c>
      <c r="G72">
        <v>1807</v>
      </c>
      <c r="H72">
        <v>1369</v>
      </c>
      <c r="I72">
        <v>1284</v>
      </c>
      <c r="J72">
        <v>11.42</v>
      </c>
      <c r="K72">
        <v>1.3</v>
      </c>
      <c r="L72">
        <v>7.53</v>
      </c>
      <c r="M72">
        <v>2.14</v>
      </c>
      <c r="N72">
        <v>0.22</v>
      </c>
      <c r="O72">
        <v>1.55</v>
      </c>
      <c r="P72">
        <v>24.53</v>
      </c>
      <c r="Q72">
        <v>0.91</v>
      </c>
      <c r="R72">
        <v>24.08</v>
      </c>
      <c r="S72">
        <v>28.55</v>
      </c>
      <c r="T72">
        <v>5.4</v>
      </c>
      <c r="U72">
        <v>17.97</v>
      </c>
      <c r="V72">
        <v>32.700000000000003</v>
      </c>
      <c r="W72">
        <v>4.33</v>
      </c>
      <c r="X72">
        <v>1519</v>
      </c>
      <c r="Y72">
        <v>1358</v>
      </c>
      <c r="Z72">
        <v>1144</v>
      </c>
      <c r="AA72">
        <v>1653</v>
      </c>
      <c r="AB72">
        <v>6068</v>
      </c>
      <c r="AC72">
        <v>656</v>
      </c>
      <c r="AD72">
        <v>5719</v>
      </c>
      <c r="AE72">
        <v>2158</v>
      </c>
      <c r="AF72">
        <v>3814</v>
      </c>
      <c r="AG72">
        <v>13.59</v>
      </c>
      <c r="AH72">
        <v>17577</v>
      </c>
      <c r="AI72">
        <v>0.63</v>
      </c>
      <c r="AJ72">
        <v>0.39</v>
      </c>
      <c r="AK72">
        <v>3.0754287703863299E-2</v>
      </c>
      <c r="AL72">
        <v>1.71255005345863</v>
      </c>
      <c r="AM72">
        <v>22.441865143811501</v>
      </c>
      <c r="AN72">
        <v>6.3</v>
      </c>
      <c r="AO72">
        <v>26.61</v>
      </c>
      <c r="AP72">
        <v>10.44</v>
      </c>
      <c r="AQ72">
        <v>14.23</v>
      </c>
    </row>
    <row r="73" spans="1:43" x14ac:dyDescent="0.25">
      <c r="A73">
        <v>10134</v>
      </c>
      <c r="B73">
        <v>28</v>
      </c>
      <c r="C73">
        <v>2511</v>
      </c>
      <c r="D73">
        <v>138</v>
      </c>
      <c r="E73">
        <v>1064</v>
      </c>
      <c r="F73">
        <v>11472</v>
      </c>
      <c r="G73">
        <v>1767</v>
      </c>
      <c r="H73">
        <v>1340</v>
      </c>
      <c r="I73">
        <v>1353</v>
      </c>
      <c r="J73">
        <v>10.86</v>
      </c>
      <c r="K73">
        <v>0.12</v>
      </c>
      <c r="L73">
        <v>7.8</v>
      </c>
      <c r="M73">
        <v>2.25</v>
      </c>
      <c r="N73">
        <v>0.28999999999999998</v>
      </c>
      <c r="O73">
        <v>2.2000000000000002</v>
      </c>
      <c r="P73">
        <v>23.76</v>
      </c>
      <c r="Q73">
        <v>0.09</v>
      </c>
      <c r="R73">
        <v>24.96</v>
      </c>
      <c r="S73">
        <v>30.21</v>
      </c>
      <c r="T73">
        <v>4.92</v>
      </c>
      <c r="U73">
        <v>17.66</v>
      </c>
      <c r="V73">
        <v>31.68</v>
      </c>
      <c r="W73">
        <v>2.7</v>
      </c>
      <c r="X73">
        <v>1499</v>
      </c>
      <c r="Y73">
        <v>1327</v>
      </c>
      <c r="Z73">
        <v>1109</v>
      </c>
      <c r="AA73">
        <v>1782</v>
      </c>
      <c r="AB73">
        <v>5970</v>
      </c>
      <c r="AC73">
        <v>616</v>
      </c>
      <c r="AD73">
        <v>5762</v>
      </c>
      <c r="AE73">
        <v>2274</v>
      </c>
      <c r="AF73">
        <v>3756</v>
      </c>
      <c r="AG73">
        <v>13.912000000000001</v>
      </c>
      <c r="AH73">
        <v>17495</v>
      </c>
      <c r="AI73">
        <v>0.65</v>
      </c>
      <c r="AJ73">
        <v>0.39</v>
      </c>
      <c r="AK73">
        <v>0.15407554030642001</v>
      </c>
      <c r="AL73">
        <v>1.3992467321299</v>
      </c>
      <c r="AM73">
        <v>30.9410861131818</v>
      </c>
      <c r="AN73">
        <v>1.63</v>
      </c>
      <c r="AO73">
        <v>25.08</v>
      </c>
      <c r="AP73">
        <v>9.66</v>
      </c>
      <c r="AQ73">
        <v>13.17</v>
      </c>
    </row>
    <row r="74" spans="1:43" x14ac:dyDescent="0.25">
      <c r="A74">
        <v>6034</v>
      </c>
      <c r="B74">
        <v>494</v>
      </c>
      <c r="C74">
        <v>2488</v>
      </c>
      <c r="D74">
        <v>141</v>
      </c>
      <c r="E74">
        <v>946</v>
      </c>
      <c r="F74">
        <v>10994</v>
      </c>
      <c r="G74">
        <v>1423</v>
      </c>
      <c r="H74">
        <v>1079</v>
      </c>
      <c r="I74">
        <v>1958</v>
      </c>
      <c r="J74">
        <v>6.46</v>
      </c>
      <c r="K74">
        <v>2.19</v>
      </c>
      <c r="L74">
        <v>7.73</v>
      </c>
      <c r="M74">
        <v>3.26</v>
      </c>
      <c r="N74">
        <v>0.28999999999999998</v>
      </c>
      <c r="O74">
        <v>1.96</v>
      </c>
      <c r="P74">
        <v>22.77</v>
      </c>
      <c r="Q74">
        <v>1.54</v>
      </c>
      <c r="R74">
        <v>24.74</v>
      </c>
      <c r="S74">
        <v>30.7</v>
      </c>
      <c r="T74">
        <v>2.14</v>
      </c>
      <c r="U74">
        <v>14.31</v>
      </c>
      <c r="V74">
        <v>30.36</v>
      </c>
      <c r="W74">
        <v>6.56</v>
      </c>
      <c r="X74">
        <v>1219</v>
      </c>
      <c r="Y74">
        <v>1070</v>
      </c>
      <c r="Z74">
        <v>1062</v>
      </c>
      <c r="AA74">
        <v>1951</v>
      </c>
      <c r="AB74">
        <v>5888</v>
      </c>
      <c r="AC74">
        <v>579</v>
      </c>
      <c r="AD74">
        <v>5862</v>
      </c>
      <c r="AE74">
        <v>3291</v>
      </c>
      <c r="AF74">
        <v>4294</v>
      </c>
      <c r="AG74">
        <v>14.946999999999999</v>
      </c>
      <c r="AH74">
        <v>18636</v>
      </c>
      <c r="AI74">
        <v>0.6</v>
      </c>
      <c r="AJ74">
        <v>0.39</v>
      </c>
      <c r="AK74">
        <v>0.387443587767344</v>
      </c>
      <c r="AL74">
        <v>0.35550347794866299</v>
      </c>
      <c r="AM74">
        <v>30.396086468284199</v>
      </c>
      <c r="AN74">
        <v>5.41</v>
      </c>
      <c r="AO74">
        <v>22.46</v>
      </c>
      <c r="AP74">
        <v>6.28</v>
      </c>
      <c r="AQ74">
        <v>8.56</v>
      </c>
    </row>
    <row r="75" spans="1:43" x14ac:dyDescent="0.25">
      <c r="A75">
        <v>14987</v>
      </c>
      <c r="B75">
        <v>3651</v>
      </c>
      <c r="C75">
        <v>1314</v>
      </c>
      <c r="D75">
        <v>73</v>
      </c>
      <c r="E75">
        <v>792</v>
      </c>
      <c r="F75">
        <v>12117</v>
      </c>
      <c r="G75">
        <v>117</v>
      </c>
      <c r="H75">
        <v>89</v>
      </c>
      <c r="I75">
        <v>4254</v>
      </c>
      <c r="J75">
        <v>16.059999999999999</v>
      </c>
      <c r="K75">
        <v>16.21</v>
      </c>
      <c r="L75">
        <v>4.08</v>
      </c>
      <c r="M75">
        <v>7.08</v>
      </c>
      <c r="N75">
        <v>0.15</v>
      </c>
      <c r="O75">
        <v>1.64</v>
      </c>
      <c r="P75">
        <v>25.1</v>
      </c>
      <c r="Q75">
        <v>11.34</v>
      </c>
      <c r="R75">
        <v>13.07</v>
      </c>
      <c r="S75">
        <v>16.39</v>
      </c>
      <c r="T75">
        <v>11.27</v>
      </c>
      <c r="U75">
        <v>1.33</v>
      </c>
      <c r="V75">
        <v>33.46</v>
      </c>
      <c r="W75">
        <v>34.229999999999997</v>
      </c>
      <c r="X75">
        <v>123</v>
      </c>
      <c r="Y75">
        <v>87</v>
      </c>
      <c r="Z75">
        <v>1171</v>
      </c>
      <c r="AA75">
        <v>518</v>
      </c>
      <c r="AB75">
        <v>4865</v>
      </c>
      <c r="AC75">
        <v>1114</v>
      </c>
      <c r="AD75">
        <v>5881</v>
      </c>
      <c r="AE75">
        <v>7151</v>
      </c>
      <c r="AF75">
        <v>10416</v>
      </c>
      <c r="AG75">
        <v>9.1029999999999998</v>
      </c>
      <c r="AH75">
        <v>26649</v>
      </c>
      <c r="AI75">
        <v>0.5</v>
      </c>
      <c r="AJ75">
        <v>0.4</v>
      </c>
      <c r="AK75">
        <v>0.59889864561563999</v>
      </c>
      <c r="AL75">
        <v>1.0231553148564401</v>
      </c>
      <c r="AM75">
        <v>30.8293201912727</v>
      </c>
      <c r="AN75">
        <v>13.42</v>
      </c>
      <c r="AO75">
        <v>13.36</v>
      </c>
      <c r="AP75">
        <v>7.78</v>
      </c>
      <c r="AQ75">
        <v>10.61</v>
      </c>
    </row>
    <row r="76" spans="1:43" x14ac:dyDescent="0.25">
      <c r="A76">
        <v>14133</v>
      </c>
      <c r="B76">
        <v>1946</v>
      </c>
      <c r="C76">
        <v>1846</v>
      </c>
      <c r="D76">
        <v>147</v>
      </c>
      <c r="E76">
        <v>765</v>
      </c>
      <c r="F76">
        <v>12073</v>
      </c>
      <c r="G76">
        <v>1138</v>
      </c>
      <c r="H76">
        <v>863</v>
      </c>
      <c r="I76">
        <v>2459</v>
      </c>
      <c r="J76">
        <v>15.14</v>
      </c>
      <c r="K76">
        <v>8.64</v>
      </c>
      <c r="L76">
        <v>5.74</v>
      </c>
      <c r="M76">
        <v>4.09</v>
      </c>
      <c r="N76">
        <v>0.3</v>
      </c>
      <c r="O76">
        <v>1.58</v>
      </c>
      <c r="P76">
        <v>25.01</v>
      </c>
      <c r="Q76">
        <v>6.05</v>
      </c>
      <c r="R76">
        <v>18.36</v>
      </c>
      <c r="S76">
        <v>21.31</v>
      </c>
      <c r="T76">
        <v>9.0399999999999991</v>
      </c>
      <c r="U76">
        <v>11.53</v>
      </c>
      <c r="V76">
        <v>33.340000000000003</v>
      </c>
      <c r="W76">
        <v>19.04</v>
      </c>
      <c r="X76">
        <v>988</v>
      </c>
      <c r="Y76">
        <v>856</v>
      </c>
      <c r="Z76">
        <v>1167</v>
      </c>
      <c r="AA76">
        <v>981</v>
      </c>
      <c r="AB76">
        <v>5649</v>
      </c>
      <c r="AC76">
        <v>910</v>
      </c>
      <c r="AD76">
        <v>5739</v>
      </c>
      <c r="AE76">
        <v>4134</v>
      </c>
      <c r="AF76">
        <v>6780</v>
      </c>
      <c r="AG76">
        <v>11.145</v>
      </c>
      <c r="AH76">
        <v>21606</v>
      </c>
      <c r="AI76">
        <v>0.56000000000000005</v>
      </c>
      <c r="AJ76">
        <v>0.4</v>
      </c>
      <c r="AK76">
        <v>0.33010116375050103</v>
      </c>
      <c r="AL76">
        <v>1.02374722244801</v>
      </c>
      <c r="AM76">
        <v>31.198647364320902</v>
      </c>
      <c r="AN76">
        <v>14.15</v>
      </c>
      <c r="AO76">
        <v>12.56</v>
      </c>
      <c r="AP76">
        <v>0.01</v>
      </c>
      <c r="AQ76">
        <v>0.01</v>
      </c>
    </row>
    <row r="77" spans="1:43" x14ac:dyDescent="0.25">
      <c r="A77">
        <v>13910</v>
      </c>
      <c r="B77">
        <v>2309</v>
      </c>
      <c r="C77">
        <v>1774</v>
      </c>
      <c r="D77">
        <v>1080</v>
      </c>
      <c r="E77">
        <v>249</v>
      </c>
      <c r="F77">
        <v>11461</v>
      </c>
      <c r="G77">
        <v>873</v>
      </c>
      <c r="H77">
        <v>662</v>
      </c>
      <c r="I77">
        <v>2925</v>
      </c>
      <c r="J77">
        <v>14.9</v>
      </c>
      <c r="K77">
        <v>10.25</v>
      </c>
      <c r="L77">
        <v>5.51</v>
      </c>
      <c r="M77">
        <v>4.87</v>
      </c>
      <c r="N77">
        <v>2.2400000000000002</v>
      </c>
      <c r="O77">
        <v>0.52</v>
      </c>
      <c r="P77">
        <v>23.74</v>
      </c>
      <c r="Q77">
        <v>7.17</v>
      </c>
      <c r="R77">
        <v>17.63</v>
      </c>
      <c r="S77">
        <v>20.5</v>
      </c>
      <c r="T77">
        <v>9.06</v>
      </c>
      <c r="U77">
        <v>11.35</v>
      </c>
      <c r="V77">
        <v>31.65</v>
      </c>
      <c r="W77">
        <v>21.07</v>
      </c>
      <c r="X77">
        <v>1120</v>
      </c>
      <c r="Y77">
        <v>656</v>
      </c>
      <c r="Z77">
        <v>1108</v>
      </c>
      <c r="AA77">
        <v>922</v>
      </c>
      <c r="AB77">
        <v>5640</v>
      </c>
      <c r="AC77">
        <v>943</v>
      </c>
      <c r="AD77">
        <v>5796</v>
      </c>
      <c r="AE77">
        <v>4917</v>
      </c>
      <c r="AF77">
        <v>7611</v>
      </c>
      <c r="AG77">
        <v>11.228</v>
      </c>
      <c r="AH77">
        <v>22997</v>
      </c>
      <c r="AI77">
        <v>0.54</v>
      </c>
      <c r="AJ77">
        <v>0.4</v>
      </c>
      <c r="AK77">
        <v>3.8595716892913197E-2</v>
      </c>
      <c r="AL77">
        <v>3.4396044620494899</v>
      </c>
      <c r="AM77">
        <v>33.312252231193298</v>
      </c>
      <c r="AN77">
        <v>14.14</v>
      </c>
      <c r="AO77">
        <v>9.0500000000000007</v>
      </c>
      <c r="AP77">
        <v>0.04</v>
      </c>
      <c r="AQ77">
        <v>0.05</v>
      </c>
    </row>
    <row r="78" spans="1:43" x14ac:dyDescent="0.25">
      <c r="A78">
        <v>13023</v>
      </c>
      <c r="B78">
        <v>1562</v>
      </c>
      <c r="C78">
        <v>2017</v>
      </c>
      <c r="D78">
        <v>227</v>
      </c>
      <c r="E78">
        <v>651</v>
      </c>
      <c r="F78">
        <v>11864</v>
      </c>
      <c r="G78">
        <v>1337</v>
      </c>
      <c r="H78">
        <v>1014</v>
      </c>
      <c r="I78">
        <v>2109</v>
      </c>
      <c r="J78">
        <v>13.95</v>
      </c>
      <c r="K78">
        <v>6.93</v>
      </c>
      <c r="L78">
        <v>6.27</v>
      </c>
      <c r="M78">
        <v>3.51</v>
      </c>
      <c r="N78">
        <v>0.47</v>
      </c>
      <c r="O78">
        <v>1.35</v>
      </c>
      <c r="P78">
        <v>24.57</v>
      </c>
      <c r="Q78">
        <v>4.8499999999999996</v>
      </c>
      <c r="R78">
        <v>20.05</v>
      </c>
      <c r="S78">
        <v>22.94</v>
      </c>
      <c r="T78">
        <v>7.83</v>
      </c>
      <c r="U78">
        <v>13.69</v>
      </c>
      <c r="V78">
        <v>32.770000000000003</v>
      </c>
      <c r="W78">
        <v>15.36</v>
      </c>
      <c r="X78">
        <v>1181</v>
      </c>
      <c r="Y78">
        <v>1004</v>
      </c>
      <c r="Z78">
        <v>1147</v>
      </c>
      <c r="AA78">
        <v>1155</v>
      </c>
      <c r="AB78">
        <v>5830</v>
      </c>
      <c r="AC78">
        <v>843</v>
      </c>
      <c r="AD78">
        <v>5732</v>
      </c>
      <c r="AE78">
        <v>3545</v>
      </c>
      <c r="AF78">
        <v>5917</v>
      </c>
      <c r="AG78">
        <v>11.943</v>
      </c>
      <c r="AH78">
        <v>20490</v>
      </c>
      <c r="AI78">
        <v>0.56999999999999995</v>
      </c>
      <c r="AJ78">
        <v>0.4</v>
      </c>
      <c r="AK78">
        <v>2.56528072511111E-2</v>
      </c>
      <c r="AL78">
        <v>2.76288414553771</v>
      </c>
      <c r="AM78">
        <v>32.176371722970202</v>
      </c>
      <c r="AN78">
        <v>11.5</v>
      </c>
      <c r="AO78">
        <v>13.16</v>
      </c>
      <c r="AP78">
        <v>8.5</v>
      </c>
      <c r="AQ78">
        <v>11.59</v>
      </c>
    </row>
    <row r="79" spans="1:43" x14ac:dyDescent="0.25">
      <c r="A79">
        <v>8576</v>
      </c>
      <c r="B79">
        <v>1991</v>
      </c>
      <c r="C79">
        <v>1881</v>
      </c>
      <c r="D79">
        <v>933</v>
      </c>
      <c r="E79">
        <v>136</v>
      </c>
      <c r="F79">
        <v>11685</v>
      </c>
      <c r="G79">
        <v>822</v>
      </c>
      <c r="H79">
        <v>623</v>
      </c>
      <c r="I79">
        <v>3015</v>
      </c>
      <c r="J79">
        <v>9.19</v>
      </c>
      <c r="K79">
        <v>8.84</v>
      </c>
      <c r="L79">
        <v>5.84</v>
      </c>
      <c r="M79">
        <v>5.0199999999999996</v>
      </c>
      <c r="N79">
        <v>1.93</v>
      </c>
      <c r="O79">
        <v>0.28000000000000003</v>
      </c>
      <c r="P79">
        <v>24.2</v>
      </c>
      <c r="Q79">
        <v>6.19</v>
      </c>
      <c r="R79">
        <v>18.7</v>
      </c>
      <c r="S79">
        <v>23.39</v>
      </c>
      <c r="T79">
        <v>4.34</v>
      </c>
      <c r="U79">
        <v>10.47</v>
      </c>
      <c r="V79">
        <v>32.270000000000003</v>
      </c>
      <c r="W79">
        <v>17.989999999999998</v>
      </c>
      <c r="X79">
        <v>1023</v>
      </c>
      <c r="Y79">
        <v>618</v>
      </c>
      <c r="Z79">
        <v>1129</v>
      </c>
      <c r="AA79">
        <v>1361</v>
      </c>
      <c r="AB79">
        <v>5700</v>
      </c>
      <c r="AC79">
        <v>801</v>
      </c>
      <c r="AD79">
        <v>5848</v>
      </c>
      <c r="AE79">
        <v>5068</v>
      </c>
      <c r="AF79">
        <v>6883</v>
      </c>
      <c r="AG79">
        <v>12.993</v>
      </c>
      <c r="AH79">
        <v>22331</v>
      </c>
      <c r="AI79">
        <v>0.5</v>
      </c>
      <c r="AJ79">
        <v>0.4</v>
      </c>
      <c r="AK79">
        <v>0.32917327839600202</v>
      </c>
      <c r="AL79">
        <v>1.0245720094297901</v>
      </c>
      <c r="AM79">
        <v>31.198647364320902</v>
      </c>
      <c r="AN79">
        <v>0.57999999999999996</v>
      </c>
      <c r="AO79">
        <v>26.14</v>
      </c>
      <c r="AP79">
        <v>2.64</v>
      </c>
      <c r="AQ79">
        <v>3.6</v>
      </c>
    </row>
    <row r="80" spans="1:43" x14ac:dyDescent="0.25">
      <c r="A80">
        <v>10257</v>
      </c>
      <c r="B80">
        <v>28</v>
      </c>
      <c r="C80">
        <v>2511</v>
      </c>
      <c r="D80">
        <v>138</v>
      </c>
      <c r="E80">
        <v>1047</v>
      </c>
      <c r="F80">
        <v>11488</v>
      </c>
      <c r="G80">
        <v>1948</v>
      </c>
      <c r="H80">
        <v>1477</v>
      </c>
      <c r="I80">
        <v>1035</v>
      </c>
      <c r="J80">
        <v>10.99</v>
      </c>
      <c r="K80">
        <v>0.12</v>
      </c>
      <c r="L80">
        <v>7.8</v>
      </c>
      <c r="M80">
        <v>1.72</v>
      </c>
      <c r="N80">
        <v>0.28999999999999998</v>
      </c>
      <c r="O80">
        <v>2.17</v>
      </c>
      <c r="P80">
        <v>23.8</v>
      </c>
      <c r="Q80">
        <v>0.09</v>
      </c>
      <c r="R80">
        <v>24.96</v>
      </c>
      <c r="S80">
        <v>29.64</v>
      </c>
      <c r="T80">
        <v>5.01</v>
      </c>
      <c r="U80">
        <v>19.440000000000001</v>
      </c>
      <c r="V80">
        <v>31.73</v>
      </c>
      <c r="W80">
        <v>2.66</v>
      </c>
      <c r="X80">
        <v>1648</v>
      </c>
      <c r="Y80">
        <v>1463</v>
      </c>
      <c r="Z80">
        <v>1110</v>
      </c>
      <c r="AA80">
        <v>1745</v>
      </c>
      <c r="AB80">
        <v>6217</v>
      </c>
      <c r="AC80">
        <v>618</v>
      </c>
      <c r="AD80">
        <v>5706</v>
      </c>
      <c r="AE80">
        <v>1740</v>
      </c>
      <c r="AF80">
        <v>3241</v>
      </c>
      <c r="AG80">
        <v>14.143000000000001</v>
      </c>
      <c r="AH80">
        <v>16846</v>
      </c>
      <c r="AI80">
        <v>0.65</v>
      </c>
      <c r="AJ80">
        <v>0.4</v>
      </c>
      <c r="AK80">
        <v>6.96292729068045E-3</v>
      </c>
      <c r="AL80">
        <v>5.1107990718120402E-2</v>
      </c>
      <c r="AM80">
        <v>32.790136037379703</v>
      </c>
      <c r="AN80">
        <v>1.94</v>
      </c>
      <c r="AO80">
        <v>24.71</v>
      </c>
      <c r="AP80">
        <v>7.97</v>
      </c>
      <c r="AQ80">
        <v>10.86</v>
      </c>
    </row>
    <row r="81" spans="1:43" x14ac:dyDescent="0.25">
      <c r="A81">
        <v>10343</v>
      </c>
      <c r="B81">
        <v>43</v>
      </c>
      <c r="C81">
        <v>2449</v>
      </c>
      <c r="D81">
        <v>32</v>
      </c>
      <c r="E81">
        <v>1032</v>
      </c>
      <c r="F81">
        <v>11883</v>
      </c>
      <c r="G81">
        <v>2171</v>
      </c>
      <c r="H81">
        <v>1645</v>
      </c>
      <c r="I81">
        <v>644</v>
      </c>
      <c r="J81">
        <v>11.08</v>
      </c>
      <c r="K81">
        <v>0.19</v>
      </c>
      <c r="L81">
        <v>7.61</v>
      </c>
      <c r="M81">
        <v>1.07</v>
      </c>
      <c r="N81">
        <v>7.0000000000000007E-2</v>
      </c>
      <c r="O81">
        <v>2.14</v>
      </c>
      <c r="P81">
        <v>24.61</v>
      </c>
      <c r="Q81">
        <v>0.13</v>
      </c>
      <c r="R81">
        <v>24.35</v>
      </c>
      <c r="S81">
        <v>28.73</v>
      </c>
      <c r="T81">
        <v>5.0999999999999996</v>
      </c>
      <c r="U81">
        <v>21.34</v>
      </c>
      <c r="V81">
        <v>32.82</v>
      </c>
      <c r="W81">
        <v>2.76</v>
      </c>
      <c r="X81">
        <v>1790</v>
      </c>
      <c r="Y81">
        <v>1632</v>
      </c>
      <c r="Z81">
        <v>1148</v>
      </c>
      <c r="AA81">
        <v>1687</v>
      </c>
      <c r="AB81">
        <v>6516</v>
      </c>
      <c r="AC81">
        <v>625</v>
      </c>
      <c r="AD81">
        <v>5616</v>
      </c>
      <c r="AE81">
        <v>1083</v>
      </c>
      <c r="AF81">
        <v>2608</v>
      </c>
      <c r="AG81">
        <v>14.318</v>
      </c>
      <c r="AH81">
        <v>16027</v>
      </c>
      <c r="AI81">
        <v>0.64</v>
      </c>
      <c r="AJ81">
        <v>0.4</v>
      </c>
      <c r="AK81">
        <v>8.6231604019088498E-2</v>
      </c>
      <c r="AL81">
        <v>2.4477250764568699</v>
      </c>
      <c r="AM81">
        <v>29.544744556548501</v>
      </c>
      <c r="AN81">
        <v>15.97</v>
      </c>
      <c r="AO81">
        <v>10.9</v>
      </c>
      <c r="AP81">
        <v>1.1499999999999999</v>
      </c>
      <c r="AQ81">
        <v>1.57</v>
      </c>
    </row>
    <row r="82" spans="1:43" x14ac:dyDescent="0.25">
      <c r="A82">
        <v>5652</v>
      </c>
      <c r="B82">
        <v>186</v>
      </c>
      <c r="C82">
        <v>2629</v>
      </c>
      <c r="D82">
        <v>127</v>
      </c>
      <c r="E82">
        <v>445</v>
      </c>
      <c r="F82">
        <v>11297</v>
      </c>
      <c r="G82">
        <v>1871</v>
      </c>
      <c r="H82">
        <v>1418</v>
      </c>
      <c r="I82">
        <v>1171</v>
      </c>
      <c r="J82">
        <v>6.05</v>
      </c>
      <c r="K82">
        <v>0.82</v>
      </c>
      <c r="L82">
        <v>8.17</v>
      </c>
      <c r="M82">
        <v>1.95</v>
      </c>
      <c r="N82">
        <v>0.26</v>
      </c>
      <c r="O82">
        <v>0.92</v>
      </c>
      <c r="P82">
        <v>23.4</v>
      </c>
      <c r="Q82">
        <v>0.57999999999999996</v>
      </c>
      <c r="R82">
        <v>26.14</v>
      </c>
      <c r="S82">
        <v>31.34</v>
      </c>
      <c r="T82">
        <v>1.88</v>
      </c>
      <c r="U82">
        <v>18.649999999999999</v>
      </c>
      <c r="V82">
        <v>31.2</v>
      </c>
      <c r="W82">
        <v>2.67</v>
      </c>
      <c r="X82">
        <v>1580</v>
      </c>
      <c r="Y82">
        <v>1405</v>
      </c>
      <c r="Z82">
        <v>1092</v>
      </c>
      <c r="AA82">
        <v>2014</v>
      </c>
      <c r="AB82">
        <v>6343</v>
      </c>
      <c r="AC82">
        <v>535</v>
      </c>
      <c r="AD82">
        <v>5768</v>
      </c>
      <c r="AE82">
        <v>1968</v>
      </c>
      <c r="AF82">
        <v>2852</v>
      </c>
      <c r="AG82">
        <v>15.605</v>
      </c>
      <c r="AH82">
        <v>16702</v>
      </c>
      <c r="AI82">
        <v>0.61</v>
      </c>
      <c r="AJ82">
        <v>0.4</v>
      </c>
      <c r="AK82">
        <v>1.06018619548924</v>
      </c>
      <c r="AL82">
        <v>0.98779477612273703</v>
      </c>
      <c r="AM82">
        <v>33.420337266368001</v>
      </c>
      <c r="AN82">
        <v>1.32</v>
      </c>
      <c r="AO82">
        <v>23.17</v>
      </c>
      <c r="AP82">
        <v>1.81</v>
      </c>
      <c r="AQ82">
        <v>2.46</v>
      </c>
    </row>
    <row r="83" spans="1:43" x14ac:dyDescent="0.25">
      <c r="A83">
        <v>13816</v>
      </c>
      <c r="B83">
        <v>3870</v>
      </c>
      <c r="C83">
        <v>1228</v>
      </c>
      <c r="D83">
        <v>57</v>
      </c>
      <c r="E83">
        <v>803</v>
      </c>
      <c r="F83">
        <v>12206</v>
      </c>
      <c r="G83">
        <v>144</v>
      </c>
      <c r="H83">
        <v>109</v>
      </c>
      <c r="I83">
        <v>4207</v>
      </c>
      <c r="J83">
        <v>14.8</v>
      </c>
      <c r="K83">
        <v>17.18</v>
      </c>
      <c r="L83">
        <v>3.82</v>
      </c>
      <c r="M83">
        <v>7</v>
      </c>
      <c r="N83">
        <v>0.12</v>
      </c>
      <c r="O83">
        <v>1.66</v>
      </c>
      <c r="P83">
        <v>25.28</v>
      </c>
      <c r="Q83">
        <v>12.02</v>
      </c>
      <c r="R83">
        <v>12.21</v>
      </c>
      <c r="S83">
        <v>15.54</v>
      </c>
      <c r="T83">
        <v>10.48</v>
      </c>
      <c r="U83">
        <v>1.56</v>
      </c>
      <c r="V83">
        <v>33.71</v>
      </c>
      <c r="W83">
        <v>36.200000000000003</v>
      </c>
      <c r="X83">
        <v>139</v>
      </c>
      <c r="Y83">
        <v>109</v>
      </c>
      <c r="Z83">
        <v>1180</v>
      </c>
      <c r="AA83">
        <v>507</v>
      </c>
      <c r="AB83">
        <v>5069</v>
      </c>
      <c r="AC83">
        <v>1116</v>
      </c>
      <c r="AD83">
        <v>5844</v>
      </c>
      <c r="AE83">
        <v>7072</v>
      </c>
      <c r="AF83">
        <v>10224</v>
      </c>
      <c r="AG83">
        <v>9.5429999999999993</v>
      </c>
      <c r="AH83">
        <v>26578</v>
      </c>
      <c r="AI83">
        <v>0.47</v>
      </c>
      <c r="AJ83">
        <v>0.41</v>
      </c>
      <c r="AK83">
        <v>6.34537486482534E-2</v>
      </c>
      <c r="AL83">
        <v>1.47979943582604</v>
      </c>
      <c r="AM83">
        <v>32.653231494679503</v>
      </c>
      <c r="AN83">
        <v>0.76</v>
      </c>
      <c r="AO83">
        <v>24.66</v>
      </c>
      <c r="AP83">
        <v>10.1</v>
      </c>
      <c r="AQ83">
        <v>13.76</v>
      </c>
    </row>
    <row r="84" spans="1:43" x14ac:dyDescent="0.25">
      <c r="A84">
        <v>10996</v>
      </c>
      <c r="B84">
        <v>3995</v>
      </c>
      <c r="C84">
        <v>1232</v>
      </c>
      <c r="D84">
        <v>137</v>
      </c>
      <c r="E84">
        <v>748</v>
      </c>
      <c r="F84">
        <v>11974</v>
      </c>
      <c r="G84">
        <v>4</v>
      </c>
      <c r="H84">
        <v>3</v>
      </c>
      <c r="I84">
        <v>4453</v>
      </c>
      <c r="J84">
        <v>11.78</v>
      </c>
      <c r="K84">
        <v>17.73</v>
      </c>
      <c r="L84">
        <v>3.83</v>
      </c>
      <c r="M84">
        <v>7.41</v>
      </c>
      <c r="N84">
        <v>0.28000000000000003</v>
      </c>
      <c r="O84">
        <v>1.55</v>
      </c>
      <c r="P84">
        <v>24.8</v>
      </c>
      <c r="Q84">
        <v>12.41</v>
      </c>
      <c r="R84">
        <v>12.25</v>
      </c>
      <c r="S84">
        <v>15.94</v>
      </c>
      <c r="T84">
        <v>7.99</v>
      </c>
      <c r="U84">
        <v>0.39</v>
      </c>
      <c r="V84">
        <v>33.07</v>
      </c>
      <c r="W84">
        <v>37.18</v>
      </c>
      <c r="X84">
        <v>54</v>
      </c>
      <c r="Y84">
        <v>4</v>
      </c>
      <c r="Z84">
        <v>1157</v>
      </c>
      <c r="AA84">
        <v>665</v>
      </c>
      <c r="AB84">
        <v>5100</v>
      </c>
      <c r="AC84">
        <v>1071</v>
      </c>
      <c r="AD84">
        <v>5888</v>
      </c>
      <c r="AE84">
        <v>7485</v>
      </c>
      <c r="AF84">
        <v>10247</v>
      </c>
      <c r="AG84">
        <v>10.435</v>
      </c>
      <c r="AH84">
        <v>26883</v>
      </c>
      <c r="AI84">
        <v>0.43</v>
      </c>
      <c r="AJ84">
        <v>0.41</v>
      </c>
      <c r="AK84">
        <v>1.4322369017425699E-2</v>
      </c>
      <c r="AL84">
        <v>2.0459229561737202</v>
      </c>
      <c r="AM84">
        <v>11.4434660210765</v>
      </c>
      <c r="AN84">
        <v>21.51</v>
      </c>
      <c r="AO84">
        <v>19.36</v>
      </c>
      <c r="AP84">
        <v>0.19</v>
      </c>
      <c r="AQ84">
        <v>0.25</v>
      </c>
    </row>
    <row r="85" spans="1:43" x14ac:dyDescent="0.25">
      <c r="A85">
        <v>12702</v>
      </c>
      <c r="B85">
        <v>1615</v>
      </c>
      <c r="C85">
        <v>1936</v>
      </c>
      <c r="D85">
        <v>36</v>
      </c>
      <c r="E85">
        <v>1051</v>
      </c>
      <c r="F85">
        <v>11967</v>
      </c>
      <c r="G85">
        <v>1400</v>
      </c>
      <c r="H85">
        <v>1061</v>
      </c>
      <c r="I85">
        <v>1999</v>
      </c>
      <c r="J85">
        <v>13.61</v>
      </c>
      <c r="K85">
        <v>7.17</v>
      </c>
      <c r="L85">
        <v>6.01</v>
      </c>
      <c r="M85">
        <v>3.33</v>
      </c>
      <c r="N85">
        <v>7.0000000000000007E-2</v>
      </c>
      <c r="O85">
        <v>2.1800000000000002</v>
      </c>
      <c r="P85">
        <v>24.79</v>
      </c>
      <c r="Q85">
        <v>5.0199999999999996</v>
      </c>
      <c r="R85">
        <v>19.239999999999998</v>
      </c>
      <c r="S85">
        <v>22.39</v>
      </c>
      <c r="T85">
        <v>7.61</v>
      </c>
      <c r="U85">
        <v>13.8</v>
      </c>
      <c r="V85">
        <v>33.049999999999997</v>
      </c>
      <c r="W85">
        <v>16.760000000000002</v>
      </c>
      <c r="X85">
        <v>1160</v>
      </c>
      <c r="Y85">
        <v>1052</v>
      </c>
      <c r="Z85">
        <v>1157</v>
      </c>
      <c r="AA85">
        <v>1134</v>
      </c>
      <c r="AB85">
        <v>5965</v>
      </c>
      <c r="AC85">
        <v>846</v>
      </c>
      <c r="AD85">
        <v>5687</v>
      </c>
      <c r="AE85">
        <v>3360</v>
      </c>
      <c r="AF85">
        <v>5689</v>
      </c>
      <c r="AG85">
        <v>12.144</v>
      </c>
      <c r="AH85">
        <v>20242</v>
      </c>
      <c r="AI85">
        <v>0.56000000000000005</v>
      </c>
      <c r="AJ85">
        <v>0.41</v>
      </c>
      <c r="AK85">
        <v>3.3133257641977401E-2</v>
      </c>
      <c r="AL85">
        <v>2.4640750686100401</v>
      </c>
      <c r="AM85">
        <v>32.064248169396699</v>
      </c>
      <c r="AN85">
        <v>0.05</v>
      </c>
      <c r="AO85">
        <v>24.95</v>
      </c>
      <c r="AP85">
        <v>9.36</v>
      </c>
      <c r="AQ85">
        <v>12.76</v>
      </c>
    </row>
    <row r="86" spans="1:43" x14ac:dyDescent="0.25">
      <c r="A86">
        <v>12184</v>
      </c>
      <c r="B86">
        <v>1741</v>
      </c>
      <c r="C86">
        <v>2259</v>
      </c>
      <c r="D86">
        <v>150</v>
      </c>
      <c r="E86">
        <v>154</v>
      </c>
      <c r="F86">
        <v>11006</v>
      </c>
      <c r="G86">
        <v>1515</v>
      </c>
      <c r="H86">
        <v>1149</v>
      </c>
      <c r="I86">
        <v>1796</v>
      </c>
      <c r="J86">
        <v>13.05</v>
      </c>
      <c r="K86">
        <v>7.73</v>
      </c>
      <c r="L86">
        <v>7.02</v>
      </c>
      <c r="M86">
        <v>2.99</v>
      </c>
      <c r="N86">
        <v>0.31</v>
      </c>
      <c r="O86">
        <v>0.32</v>
      </c>
      <c r="P86">
        <v>22.8</v>
      </c>
      <c r="Q86">
        <v>5.41</v>
      </c>
      <c r="R86">
        <v>22.46</v>
      </c>
      <c r="S86">
        <v>22.57</v>
      </c>
      <c r="T86">
        <v>7.13</v>
      </c>
      <c r="U86">
        <v>15.23</v>
      </c>
      <c r="V86">
        <v>30.4</v>
      </c>
      <c r="W86">
        <v>15.81</v>
      </c>
      <c r="X86">
        <v>1297</v>
      </c>
      <c r="Y86">
        <v>1139</v>
      </c>
      <c r="Z86">
        <v>1064</v>
      </c>
      <c r="AA86">
        <v>1174</v>
      </c>
      <c r="AB86">
        <v>6055</v>
      </c>
      <c r="AC86">
        <v>830</v>
      </c>
      <c r="AD86">
        <v>5757</v>
      </c>
      <c r="AE86">
        <v>3019</v>
      </c>
      <c r="AF86">
        <v>5341</v>
      </c>
      <c r="AG86">
        <v>12.554</v>
      </c>
      <c r="AH86">
        <v>19829</v>
      </c>
      <c r="AI86">
        <v>0.55000000000000004</v>
      </c>
      <c r="AJ86">
        <v>0.41</v>
      </c>
      <c r="AK86">
        <v>0.155906421168515</v>
      </c>
      <c r="AL86">
        <v>1.8577232989688901</v>
      </c>
      <c r="AM86">
        <v>33.4478627918661</v>
      </c>
      <c r="AN86">
        <v>17.59</v>
      </c>
      <c r="AO86">
        <v>6.83</v>
      </c>
      <c r="AP86">
        <v>0.38</v>
      </c>
      <c r="AQ86">
        <v>0.51</v>
      </c>
    </row>
    <row r="87" spans="1:43" x14ac:dyDescent="0.25">
      <c r="A87">
        <v>5646</v>
      </c>
      <c r="B87">
        <v>3116</v>
      </c>
      <c r="C87">
        <v>1552</v>
      </c>
      <c r="D87">
        <v>22</v>
      </c>
      <c r="E87">
        <v>1074</v>
      </c>
      <c r="F87">
        <v>11547</v>
      </c>
      <c r="G87">
        <v>278</v>
      </c>
      <c r="H87">
        <v>211</v>
      </c>
      <c r="I87">
        <v>3971</v>
      </c>
      <c r="J87">
        <v>6.05</v>
      </c>
      <c r="K87">
        <v>13.83</v>
      </c>
      <c r="L87">
        <v>4.82</v>
      </c>
      <c r="M87">
        <v>6.61</v>
      </c>
      <c r="N87">
        <v>0.05</v>
      </c>
      <c r="O87">
        <v>2.23</v>
      </c>
      <c r="P87">
        <v>23.92</v>
      </c>
      <c r="Q87">
        <v>9.68</v>
      </c>
      <c r="R87">
        <v>15.43</v>
      </c>
      <c r="S87">
        <v>20.53</v>
      </c>
      <c r="T87">
        <v>2.76</v>
      </c>
      <c r="U87">
        <v>2.78</v>
      </c>
      <c r="V87">
        <v>31.89</v>
      </c>
      <c r="W87">
        <v>30.14</v>
      </c>
      <c r="X87">
        <v>236</v>
      </c>
      <c r="Y87">
        <v>208</v>
      </c>
      <c r="Z87">
        <v>1116</v>
      </c>
      <c r="AA87">
        <v>1250</v>
      </c>
      <c r="AB87">
        <v>5423</v>
      </c>
      <c r="AC87">
        <v>865</v>
      </c>
      <c r="AD87">
        <v>5909</v>
      </c>
      <c r="AE87">
        <v>6675</v>
      </c>
      <c r="AF87">
        <v>8370</v>
      </c>
      <c r="AG87">
        <v>13.012</v>
      </c>
      <c r="AH87">
        <v>24649</v>
      </c>
      <c r="AI87">
        <v>0.42</v>
      </c>
      <c r="AJ87">
        <v>0.41</v>
      </c>
      <c r="AK87">
        <v>4.7670705012703698E-3</v>
      </c>
      <c r="AL87">
        <v>2.0101923472027199</v>
      </c>
      <c r="AM87">
        <v>32.659017509886901</v>
      </c>
      <c r="AN87">
        <v>2.29</v>
      </c>
      <c r="AO87">
        <v>22.71</v>
      </c>
      <c r="AP87">
        <v>9.3699999999999992</v>
      </c>
      <c r="AQ87">
        <v>12.77</v>
      </c>
    </row>
    <row r="88" spans="1:43" x14ac:dyDescent="0.25">
      <c r="A88">
        <v>8714</v>
      </c>
      <c r="B88">
        <v>1680</v>
      </c>
      <c r="C88">
        <v>1997</v>
      </c>
      <c r="D88">
        <v>129</v>
      </c>
      <c r="E88">
        <v>905</v>
      </c>
      <c r="F88">
        <v>11626</v>
      </c>
      <c r="G88">
        <v>1329</v>
      </c>
      <c r="H88">
        <v>1007</v>
      </c>
      <c r="I88">
        <v>2124</v>
      </c>
      <c r="J88">
        <v>9.34</v>
      </c>
      <c r="K88">
        <v>7.46</v>
      </c>
      <c r="L88">
        <v>6.21</v>
      </c>
      <c r="M88">
        <v>3.53</v>
      </c>
      <c r="N88">
        <v>0.27</v>
      </c>
      <c r="O88">
        <v>1.87</v>
      </c>
      <c r="P88">
        <v>24.08</v>
      </c>
      <c r="Q88">
        <v>5.22</v>
      </c>
      <c r="R88">
        <v>19.86</v>
      </c>
      <c r="S88">
        <v>23.49</v>
      </c>
      <c r="T88">
        <v>4.32</v>
      </c>
      <c r="U88">
        <v>13.35</v>
      </c>
      <c r="V88">
        <v>32.11</v>
      </c>
      <c r="W88">
        <v>16.989999999999998</v>
      </c>
      <c r="X88">
        <v>1136</v>
      </c>
      <c r="Y88">
        <v>999</v>
      </c>
      <c r="Z88">
        <v>1124</v>
      </c>
      <c r="AA88">
        <v>1380</v>
      </c>
      <c r="AB88">
        <v>6121</v>
      </c>
      <c r="AC88">
        <v>769</v>
      </c>
      <c r="AD88">
        <v>5730</v>
      </c>
      <c r="AE88">
        <v>3570</v>
      </c>
      <c r="AF88">
        <v>5320</v>
      </c>
      <c r="AG88">
        <v>13.586</v>
      </c>
      <c r="AH88">
        <v>20123</v>
      </c>
      <c r="AI88">
        <v>0.52</v>
      </c>
      <c r="AJ88">
        <v>0.41</v>
      </c>
      <c r="AK88">
        <v>0.782239966556176</v>
      </c>
      <c r="AL88">
        <v>5.8353306645360199</v>
      </c>
      <c r="AM88">
        <v>27.886970549436501</v>
      </c>
      <c r="AN88">
        <v>7.0000000000000007E-2</v>
      </c>
      <c r="AO88">
        <v>24.44</v>
      </c>
      <c r="AP88">
        <v>10.49</v>
      </c>
      <c r="AQ88">
        <v>14.3</v>
      </c>
    </row>
    <row r="89" spans="1:43" x14ac:dyDescent="0.25">
      <c r="A89">
        <v>7147</v>
      </c>
      <c r="B89">
        <v>2243</v>
      </c>
      <c r="C89">
        <v>2223</v>
      </c>
      <c r="D89">
        <v>143</v>
      </c>
      <c r="E89">
        <v>85</v>
      </c>
      <c r="F89">
        <v>10502</v>
      </c>
      <c r="G89">
        <v>962</v>
      </c>
      <c r="H89">
        <v>729</v>
      </c>
      <c r="I89">
        <v>2769</v>
      </c>
      <c r="J89">
        <v>7.66</v>
      </c>
      <c r="K89">
        <v>9.9600000000000009</v>
      </c>
      <c r="L89">
        <v>6.91</v>
      </c>
      <c r="M89">
        <v>4.6100000000000003</v>
      </c>
      <c r="N89">
        <v>0.3</v>
      </c>
      <c r="O89">
        <v>0.18</v>
      </c>
      <c r="P89">
        <v>21.75</v>
      </c>
      <c r="Q89">
        <v>6.97</v>
      </c>
      <c r="R89">
        <v>22.11</v>
      </c>
      <c r="S89">
        <v>23.4</v>
      </c>
      <c r="T89">
        <v>3.27</v>
      </c>
      <c r="U89">
        <v>9.7899999999999991</v>
      </c>
      <c r="V89">
        <v>29</v>
      </c>
      <c r="W89">
        <v>20.11</v>
      </c>
      <c r="X89">
        <v>841</v>
      </c>
      <c r="Y89">
        <v>723</v>
      </c>
      <c r="Z89">
        <v>1015</v>
      </c>
      <c r="AA89">
        <v>1421</v>
      </c>
      <c r="AB89">
        <v>5751</v>
      </c>
      <c r="AC89">
        <v>778</v>
      </c>
      <c r="AD89">
        <v>5919</v>
      </c>
      <c r="AE89">
        <v>4655</v>
      </c>
      <c r="AF89">
        <v>6365</v>
      </c>
      <c r="AG89">
        <v>13.617000000000001</v>
      </c>
      <c r="AH89">
        <v>21659</v>
      </c>
      <c r="AI89">
        <v>0.48</v>
      </c>
      <c r="AJ89">
        <v>0.41</v>
      </c>
      <c r="AK89">
        <v>0.101294049277472</v>
      </c>
      <c r="AL89">
        <v>1.32029331614873</v>
      </c>
      <c r="AM89">
        <v>33.781321291600797</v>
      </c>
      <c r="AN89">
        <v>22.49</v>
      </c>
      <c r="AO89">
        <v>2.21</v>
      </c>
      <c r="AP89">
        <v>0.15</v>
      </c>
      <c r="AQ89">
        <v>0.19</v>
      </c>
    </row>
    <row r="90" spans="1:43" x14ac:dyDescent="0.25">
      <c r="A90">
        <v>12195</v>
      </c>
      <c r="B90">
        <v>449</v>
      </c>
      <c r="C90">
        <v>2393</v>
      </c>
      <c r="D90">
        <v>32</v>
      </c>
      <c r="E90">
        <v>1048</v>
      </c>
      <c r="F90">
        <v>11527</v>
      </c>
      <c r="G90">
        <v>2137</v>
      </c>
      <c r="H90">
        <v>1620</v>
      </c>
      <c r="I90">
        <v>703</v>
      </c>
      <c r="J90">
        <v>13.06</v>
      </c>
      <c r="K90">
        <v>1.99</v>
      </c>
      <c r="L90">
        <v>7.43</v>
      </c>
      <c r="M90">
        <v>1.17</v>
      </c>
      <c r="N90">
        <v>7.0000000000000007E-2</v>
      </c>
      <c r="O90">
        <v>2.17</v>
      </c>
      <c r="P90">
        <v>23.88</v>
      </c>
      <c r="Q90">
        <v>1.4</v>
      </c>
      <c r="R90">
        <v>23.79</v>
      </c>
      <c r="S90">
        <v>26.46</v>
      </c>
      <c r="T90">
        <v>6.69</v>
      </c>
      <c r="U90">
        <v>21.01</v>
      </c>
      <c r="V90">
        <v>31.83</v>
      </c>
      <c r="W90">
        <v>6.4</v>
      </c>
      <c r="X90">
        <v>1762</v>
      </c>
      <c r="Y90">
        <v>1606</v>
      </c>
      <c r="Z90">
        <v>1114</v>
      </c>
      <c r="AA90">
        <v>1457</v>
      </c>
      <c r="AB90">
        <v>6512</v>
      </c>
      <c r="AC90">
        <v>703</v>
      </c>
      <c r="AD90">
        <v>5608</v>
      </c>
      <c r="AE90">
        <v>1182</v>
      </c>
      <c r="AF90">
        <v>3100</v>
      </c>
      <c r="AG90">
        <v>13.641999999999999</v>
      </c>
      <c r="AH90">
        <v>16646</v>
      </c>
      <c r="AI90">
        <v>0.63</v>
      </c>
      <c r="AJ90">
        <v>0.41</v>
      </c>
      <c r="AK90">
        <v>8.1750092056593102E-2</v>
      </c>
      <c r="AL90">
        <v>2.37546959740855</v>
      </c>
      <c r="AM90">
        <v>32.816647457726702</v>
      </c>
      <c r="AN90">
        <v>0.13</v>
      </c>
      <c r="AO90">
        <v>24.35</v>
      </c>
      <c r="AP90">
        <v>9</v>
      </c>
      <c r="AQ90">
        <v>12.26</v>
      </c>
    </row>
    <row r="91" spans="1:43" x14ac:dyDescent="0.25">
      <c r="A91">
        <v>10343</v>
      </c>
      <c r="B91">
        <v>1010</v>
      </c>
      <c r="C91">
        <v>2134</v>
      </c>
      <c r="D91">
        <v>124</v>
      </c>
      <c r="E91">
        <v>940</v>
      </c>
      <c r="F91">
        <v>11948</v>
      </c>
      <c r="G91">
        <v>1790</v>
      </c>
      <c r="H91">
        <v>1357</v>
      </c>
      <c r="I91">
        <v>1313</v>
      </c>
      <c r="J91">
        <v>11.08</v>
      </c>
      <c r="K91">
        <v>4.4800000000000004</v>
      </c>
      <c r="L91">
        <v>6.63</v>
      </c>
      <c r="M91">
        <v>2.1800000000000002</v>
      </c>
      <c r="N91">
        <v>0.26</v>
      </c>
      <c r="O91">
        <v>1.95</v>
      </c>
      <c r="P91">
        <v>24.75</v>
      </c>
      <c r="Q91">
        <v>3.14</v>
      </c>
      <c r="R91">
        <v>21.21</v>
      </c>
      <c r="S91">
        <v>24.85</v>
      </c>
      <c r="T91">
        <v>5.38</v>
      </c>
      <c r="U91">
        <v>17.850000000000001</v>
      </c>
      <c r="V91">
        <v>33</v>
      </c>
      <c r="W91">
        <v>11.12</v>
      </c>
      <c r="X91">
        <v>1513</v>
      </c>
      <c r="Y91">
        <v>1345</v>
      </c>
      <c r="Z91">
        <v>1155</v>
      </c>
      <c r="AA91">
        <v>1419</v>
      </c>
      <c r="AB91">
        <v>6410</v>
      </c>
      <c r="AC91">
        <v>732</v>
      </c>
      <c r="AD91">
        <v>5630</v>
      </c>
      <c r="AE91">
        <v>2207</v>
      </c>
      <c r="AF91">
        <v>4010</v>
      </c>
      <c r="AG91">
        <v>13.675000000000001</v>
      </c>
      <c r="AH91">
        <v>18132</v>
      </c>
      <c r="AI91">
        <v>0.56999999999999995</v>
      </c>
      <c r="AJ91">
        <v>0.41</v>
      </c>
      <c r="AK91">
        <v>0.37841024544586899</v>
      </c>
      <c r="AL91">
        <v>1.6841876567616201</v>
      </c>
      <c r="AM91">
        <v>33.464027579504602</v>
      </c>
      <c r="AN91">
        <v>4.21</v>
      </c>
      <c r="AO91">
        <v>20.170000000000002</v>
      </c>
      <c r="AP91">
        <v>10.220000000000001</v>
      </c>
      <c r="AQ91">
        <v>13.93</v>
      </c>
    </row>
    <row r="92" spans="1:43" x14ac:dyDescent="0.25">
      <c r="A92">
        <v>11283</v>
      </c>
      <c r="B92">
        <v>18</v>
      </c>
      <c r="C92">
        <v>2510</v>
      </c>
      <c r="D92">
        <v>13</v>
      </c>
      <c r="E92">
        <v>1071</v>
      </c>
      <c r="F92">
        <v>11610</v>
      </c>
      <c r="G92">
        <v>2259</v>
      </c>
      <c r="H92">
        <v>1712</v>
      </c>
      <c r="I92">
        <v>489</v>
      </c>
      <c r="J92">
        <v>12.09</v>
      </c>
      <c r="K92">
        <v>0.08</v>
      </c>
      <c r="L92">
        <v>7.8</v>
      </c>
      <c r="M92">
        <v>0.81</v>
      </c>
      <c r="N92">
        <v>0.03</v>
      </c>
      <c r="O92">
        <v>2.2200000000000002</v>
      </c>
      <c r="P92">
        <v>24.05</v>
      </c>
      <c r="Q92">
        <v>0.05</v>
      </c>
      <c r="R92">
        <v>24.95</v>
      </c>
      <c r="S92">
        <v>28.49</v>
      </c>
      <c r="T92">
        <v>5.83</v>
      </c>
      <c r="U92">
        <v>22.15</v>
      </c>
      <c r="V92">
        <v>32.06</v>
      </c>
      <c r="W92">
        <v>2.62</v>
      </c>
      <c r="X92">
        <v>1855</v>
      </c>
      <c r="Y92">
        <v>1697</v>
      </c>
      <c r="Z92">
        <v>1122</v>
      </c>
      <c r="AA92">
        <v>1635</v>
      </c>
      <c r="AB92">
        <v>6556</v>
      </c>
      <c r="AC92">
        <v>638</v>
      </c>
      <c r="AD92">
        <v>5609</v>
      </c>
      <c r="AE92">
        <v>822</v>
      </c>
      <c r="AF92">
        <v>2479</v>
      </c>
      <c r="AG92">
        <v>14.17</v>
      </c>
      <c r="AH92">
        <v>15785</v>
      </c>
      <c r="AI92">
        <v>0.65</v>
      </c>
      <c r="AJ92">
        <v>0.41</v>
      </c>
      <c r="AK92">
        <v>0.91737138854276101</v>
      </c>
      <c r="AL92">
        <v>2.6639520851015699</v>
      </c>
      <c r="AM92">
        <v>31.9465720733387</v>
      </c>
      <c r="AN92">
        <v>12.71</v>
      </c>
      <c r="AO92">
        <v>11.5</v>
      </c>
      <c r="AP92">
        <v>1.1399999999999999</v>
      </c>
      <c r="AQ92">
        <v>1.56</v>
      </c>
    </row>
    <row r="93" spans="1:43" x14ac:dyDescent="0.25">
      <c r="A93">
        <v>7232</v>
      </c>
      <c r="B93">
        <v>524</v>
      </c>
      <c r="C93">
        <v>2370</v>
      </c>
      <c r="D93">
        <v>16</v>
      </c>
      <c r="E93">
        <v>1065</v>
      </c>
      <c r="F93">
        <v>11527</v>
      </c>
      <c r="G93">
        <v>1792</v>
      </c>
      <c r="H93">
        <v>1358</v>
      </c>
      <c r="I93">
        <v>1310</v>
      </c>
      <c r="J93">
        <v>7.75</v>
      </c>
      <c r="K93">
        <v>2.3199999999999998</v>
      </c>
      <c r="L93">
        <v>7.36</v>
      </c>
      <c r="M93">
        <v>2.1800000000000002</v>
      </c>
      <c r="N93">
        <v>0.03</v>
      </c>
      <c r="O93">
        <v>2.21</v>
      </c>
      <c r="P93">
        <v>23.88</v>
      </c>
      <c r="Q93">
        <v>1.63</v>
      </c>
      <c r="R93">
        <v>23.56</v>
      </c>
      <c r="S93">
        <v>28.61</v>
      </c>
      <c r="T93">
        <v>2.92</v>
      </c>
      <c r="U93">
        <v>17.59</v>
      </c>
      <c r="V93">
        <v>31.83</v>
      </c>
      <c r="W93">
        <v>7.1</v>
      </c>
      <c r="X93">
        <v>1473</v>
      </c>
      <c r="Y93">
        <v>1347</v>
      </c>
      <c r="Z93">
        <v>1114</v>
      </c>
      <c r="AA93">
        <v>1787</v>
      </c>
      <c r="AB93">
        <v>6354</v>
      </c>
      <c r="AC93">
        <v>612</v>
      </c>
      <c r="AD93">
        <v>5708</v>
      </c>
      <c r="AE93">
        <v>2202</v>
      </c>
      <c r="AF93">
        <v>3395</v>
      </c>
      <c r="AG93">
        <v>14.930999999999999</v>
      </c>
      <c r="AH93">
        <v>17416</v>
      </c>
      <c r="AI93">
        <v>0.59</v>
      </c>
      <c r="AJ93">
        <v>0.41</v>
      </c>
      <c r="AK93">
        <v>0.15148222934091199</v>
      </c>
      <c r="AL93">
        <v>2.4015649462850499</v>
      </c>
      <c r="AM93">
        <v>31.956169509306299</v>
      </c>
      <c r="AN93">
        <v>12.26</v>
      </c>
      <c r="AO93">
        <v>12.79</v>
      </c>
      <c r="AP93">
        <v>10.36</v>
      </c>
      <c r="AQ93">
        <v>14.11</v>
      </c>
    </row>
    <row r="94" spans="1:43" x14ac:dyDescent="0.25">
      <c r="A94">
        <v>12389</v>
      </c>
      <c r="B94">
        <v>3762</v>
      </c>
      <c r="C94">
        <v>1283</v>
      </c>
      <c r="D94">
        <v>21</v>
      </c>
      <c r="E94">
        <v>965</v>
      </c>
      <c r="F94">
        <v>11982</v>
      </c>
      <c r="G94">
        <v>400</v>
      </c>
      <c r="H94">
        <v>303</v>
      </c>
      <c r="I94">
        <v>3757</v>
      </c>
      <c r="J94">
        <v>13.27</v>
      </c>
      <c r="K94">
        <v>16.7</v>
      </c>
      <c r="L94">
        <v>3.99</v>
      </c>
      <c r="M94">
        <v>6.25</v>
      </c>
      <c r="N94">
        <v>0.04</v>
      </c>
      <c r="O94">
        <v>2</v>
      </c>
      <c r="P94">
        <v>24.82</v>
      </c>
      <c r="Q94">
        <v>11.69</v>
      </c>
      <c r="R94">
        <v>12.75</v>
      </c>
      <c r="S94">
        <v>15.52</v>
      </c>
      <c r="T94">
        <v>9.0399999999999991</v>
      </c>
      <c r="U94">
        <v>3.97</v>
      </c>
      <c r="V94">
        <v>33.090000000000003</v>
      </c>
      <c r="W94">
        <v>35.61</v>
      </c>
      <c r="X94">
        <v>336</v>
      </c>
      <c r="Y94">
        <v>301</v>
      </c>
      <c r="Z94">
        <v>1158</v>
      </c>
      <c r="AA94">
        <v>591</v>
      </c>
      <c r="AB94">
        <v>5470</v>
      </c>
      <c r="AC94">
        <v>1074</v>
      </c>
      <c r="AD94">
        <v>5781</v>
      </c>
      <c r="AE94">
        <v>6316</v>
      </c>
      <c r="AF94">
        <v>9215</v>
      </c>
      <c r="AG94">
        <v>10.551</v>
      </c>
      <c r="AH94">
        <v>25402</v>
      </c>
      <c r="AI94">
        <v>0.45</v>
      </c>
      <c r="AJ94">
        <v>0.42</v>
      </c>
      <c r="AK94">
        <v>5.2860105773697699E-3</v>
      </c>
      <c r="AL94">
        <v>2.3320124825672699</v>
      </c>
      <c r="AM94">
        <v>33.057192603432298</v>
      </c>
      <c r="AN94">
        <v>10.18</v>
      </c>
      <c r="AO94">
        <v>14.22</v>
      </c>
      <c r="AP94">
        <v>9.07</v>
      </c>
      <c r="AQ94">
        <v>12.36</v>
      </c>
    </row>
    <row r="95" spans="1:43" x14ac:dyDescent="0.25">
      <c r="A95">
        <v>8047</v>
      </c>
      <c r="B95">
        <v>3174</v>
      </c>
      <c r="C95">
        <v>1511</v>
      </c>
      <c r="D95">
        <v>62</v>
      </c>
      <c r="E95">
        <v>888</v>
      </c>
      <c r="F95">
        <v>11803</v>
      </c>
      <c r="G95">
        <v>641</v>
      </c>
      <c r="H95">
        <v>486</v>
      </c>
      <c r="I95">
        <v>3333</v>
      </c>
      <c r="J95">
        <v>8.6199999999999992</v>
      </c>
      <c r="K95">
        <v>14.09</v>
      </c>
      <c r="L95">
        <v>4.7</v>
      </c>
      <c r="M95">
        <v>5.54</v>
      </c>
      <c r="N95">
        <v>0.13</v>
      </c>
      <c r="O95">
        <v>1.84</v>
      </c>
      <c r="P95">
        <v>24.45</v>
      </c>
      <c r="Q95">
        <v>9.86</v>
      </c>
      <c r="R95">
        <v>15.03</v>
      </c>
      <c r="S95">
        <v>18.399999999999999</v>
      </c>
      <c r="T95">
        <v>4.6500000000000004</v>
      </c>
      <c r="U95">
        <v>6.44</v>
      </c>
      <c r="V95">
        <v>32.6</v>
      </c>
      <c r="W95">
        <v>30.21</v>
      </c>
      <c r="X95">
        <v>548</v>
      </c>
      <c r="Y95">
        <v>482</v>
      </c>
      <c r="Z95">
        <v>1141</v>
      </c>
      <c r="AA95">
        <v>1022</v>
      </c>
      <c r="AB95">
        <v>5813</v>
      </c>
      <c r="AC95">
        <v>920</v>
      </c>
      <c r="AD95">
        <v>5782</v>
      </c>
      <c r="AE95">
        <v>5603</v>
      </c>
      <c r="AF95">
        <v>7683</v>
      </c>
      <c r="AG95">
        <v>12.603</v>
      </c>
      <c r="AH95">
        <v>23624</v>
      </c>
      <c r="AI95">
        <v>0.42</v>
      </c>
      <c r="AJ95">
        <v>0.42</v>
      </c>
      <c r="AK95">
        <v>1.1202178457009799</v>
      </c>
      <c r="AL95">
        <v>1.7677245258379899</v>
      </c>
      <c r="AM95">
        <v>31.883853247587499</v>
      </c>
      <c r="AN95">
        <v>14.92</v>
      </c>
      <c r="AO95">
        <v>9.98</v>
      </c>
      <c r="AP95">
        <v>0.57999999999999996</v>
      </c>
      <c r="AQ95">
        <v>0.79</v>
      </c>
    </row>
    <row r="96" spans="1:43" x14ac:dyDescent="0.25">
      <c r="A96">
        <v>13816</v>
      </c>
      <c r="B96">
        <v>747</v>
      </c>
      <c r="C96">
        <v>2343</v>
      </c>
      <c r="D96">
        <v>339</v>
      </c>
      <c r="E96">
        <v>841</v>
      </c>
      <c r="F96">
        <v>11219</v>
      </c>
      <c r="G96">
        <v>2066</v>
      </c>
      <c r="H96">
        <v>1566</v>
      </c>
      <c r="I96">
        <v>828</v>
      </c>
      <c r="J96">
        <v>14.8</v>
      </c>
      <c r="K96">
        <v>3.32</v>
      </c>
      <c r="L96">
        <v>7.28</v>
      </c>
      <c r="M96">
        <v>1.38</v>
      </c>
      <c r="N96">
        <v>0.7</v>
      </c>
      <c r="O96">
        <v>1.74</v>
      </c>
      <c r="P96">
        <v>23.24</v>
      </c>
      <c r="Q96">
        <v>2.3199999999999998</v>
      </c>
      <c r="R96">
        <v>23.3</v>
      </c>
      <c r="S96">
        <v>24.92</v>
      </c>
      <c r="T96">
        <v>8.16</v>
      </c>
      <c r="U96">
        <v>21.11</v>
      </c>
      <c r="V96">
        <v>30.98</v>
      </c>
      <c r="W96">
        <v>8.57</v>
      </c>
      <c r="X96">
        <v>1820</v>
      </c>
      <c r="Y96">
        <v>1552</v>
      </c>
      <c r="Z96">
        <v>1084</v>
      </c>
      <c r="AA96">
        <v>1279</v>
      </c>
      <c r="AB96">
        <v>6493</v>
      </c>
      <c r="AC96">
        <v>766</v>
      </c>
      <c r="AD96">
        <v>5614</v>
      </c>
      <c r="AE96">
        <v>1392</v>
      </c>
      <c r="AF96">
        <v>3632</v>
      </c>
      <c r="AG96">
        <v>13.071999999999999</v>
      </c>
      <c r="AH96">
        <v>17356</v>
      </c>
      <c r="AI96">
        <v>0.63</v>
      </c>
      <c r="AJ96">
        <v>0.42</v>
      </c>
      <c r="AK96">
        <v>0.52566902315473296</v>
      </c>
      <c r="AL96">
        <v>1.6008273039990999</v>
      </c>
      <c r="AM96">
        <v>33.403430232128201</v>
      </c>
      <c r="AN96">
        <v>5.01</v>
      </c>
      <c r="AO96">
        <v>19.38</v>
      </c>
      <c r="AP96">
        <v>0.19</v>
      </c>
      <c r="AQ96">
        <v>0.26</v>
      </c>
    </row>
    <row r="97" spans="1:43" x14ac:dyDescent="0.25">
      <c r="A97">
        <v>10917</v>
      </c>
      <c r="B97">
        <v>164</v>
      </c>
      <c r="C97">
        <v>2472</v>
      </c>
      <c r="D97">
        <v>31</v>
      </c>
      <c r="E97">
        <v>904</v>
      </c>
      <c r="F97">
        <v>11722</v>
      </c>
      <c r="G97">
        <v>2378</v>
      </c>
      <c r="H97">
        <v>1803</v>
      </c>
      <c r="I97">
        <v>279</v>
      </c>
      <c r="J97">
        <v>11.7</v>
      </c>
      <c r="K97">
        <v>0.73</v>
      </c>
      <c r="L97">
        <v>7.68</v>
      </c>
      <c r="M97">
        <v>0.46</v>
      </c>
      <c r="N97">
        <v>0.06</v>
      </c>
      <c r="O97">
        <v>1.87</v>
      </c>
      <c r="P97">
        <v>24.28</v>
      </c>
      <c r="Q97">
        <v>0.51</v>
      </c>
      <c r="R97">
        <v>24.57</v>
      </c>
      <c r="S97">
        <v>27.52</v>
      </c>
      <c r="T97">
        <v>5.58</v>
      </c>
      <c r="U97">
        <v>23.36</v>
      </c>
      <c r="V97">
        <v>32.369999999999997</v>
      </c>
      <c r="W97">
        <v>3.54</v>
      </c>
      <c r="X97">
        <v>1959</v>
      </c>
      <c r="Y97">
        <v>1786</v>
      </c>
      <c r="Z97">
        <v>1133</v>
      </c>
      <c r="AA97">
        <v>1589</v>
      </c>
      <c r="AB97">
        <v>6793</v>
      </c>
      <c r="AC97">
        <v>646</v>
      </c>
      <c r="AD97">
        <v>5560</v>
      </c>
      <c r="AE97">
        <v>469</v>
      </c>
      <c r="AF97">
        <v>2121</v>
      </c>
      <c r="AG97">
        <v>14.423999999999999</v>
      </c>
      <c r="AH97">
        <v>15407</v>
      </c>
      <c r="AI97">
        <v>0.63</v>
      </c>
      <c r="AJ97">
        <v>0.42</v>
      </c>
      <c r="AK97">
        <v>0.87848482354691804</v>
      </c>
      <c r="AL97">
        <v>1.93605313405535</v>
      </c>
      <c r="AM97">
        <v>30.9833801452919</v>
      </c>
      <c r="AN97">
        <v>2.3199999999999998</v>
      </c>
      <c r="AO97">
        <v>23.3</v>
      </c>
      <c r="AP97">
        <v>8.56</v>
      </c>
      <c r="AQ97">
        <v>11.67</v>
      </c>
    </row>
    <row r="98" spans="1:43" x14ac:dyDescent="0.25">
      <c r="A98">
        <v>8149</v>
      </c>
      <c r="B98">
        <v>450</v>
      </c>
      <c r="C98">
        <v>2393</v>
      </c>
      <c r="D98">
        <v>32</v>
      </c>
      <c r="E98">
        <v>1048</v>
      </c>
      <c r="F98">
        <v>11527</v>
      </c>
      <c r="G98">
        <v>2054</v>
      </c>
      <c r="H98">
        <v>1557</v>
      </c>
      <c r="I98">
        <v>849</v>
      </c>
      <c r="J98">
        <v>8.73</v>
      </c>
      <c r="K98">
        <v>2</v>
      </c>
      <c r="L98">
        <v>7.43</v>
      </c>
      <c r="M98">
        <v>1.41</v>
      </c>
      <c r="N98">
        <v>7.0000000000000007E-2</v>
      </c>
      <c r="O98">
        <v>2.17</v>
      </c>
      <c r="P98">
        <v>23.88</v>
      </c>
      <c r="Q98">
        <v>1.4</v>
      </c>
      <c r="R98">
        <v>23.79</v>
      </c>
      <c r="S98">
        <v>27.89</v>
      </c>
      <c r="T98">
        <v>3.55</v>
      </c>
      <c r="U98">
        <v>20.190000000000001</v>
      </c>
      <c r="V98">
        <v>31.83</v>
      </c>
      <c r="W98">
        <v>6.41</v>
      </c>
      <c r="X98">
        <v>1694</v>
      </c>
      <c r="Y98">
        <v>1543</v>
      </c>
      <c r="Z98">
        <v>1114</v>
      </c>
      <c r="AA98">
        <v>1714</v>
      </c>
      <c r="AB98">
        <v>6638</v>
      </c>
      <c r="AC98">
        <v>622</v>
      </c>
      <c r="AD98">
        <v>5634</v>
      </c>
      <c r="AE98">
        <v>1427</v>
      </c>
      <c r="AF98">
        <v>2738</v>
      </c>
      <c r="AG98">
        <v>15.006</v>
      </c>
      <c r="AH98">
        <v>16505</v>
      </c>
      <c r="AI98">
        <v>0.59</v>
      </c>
      <c r="AJ98">
        <v>0.42</v>
      </c>
      <c r="AK98">
        <v>1.5384542584683599E-2</v>
      </c>
      <c r="AL98">
        <v>2.7550308435266602</v>
      </c>
      <c r="AM98">
        <v>31.3695542457152</v>
      </c>
      <c r="AN98">
        <v>0.52</v>
      </c>
      <c r="AO98">
        <v>24.76</v>
      </c>
      <c r="AP98">
        <v>9.09</v>
      </c>
      <c r="AQ98">
        <v>12.38</v>
      </c>
    </row>
    <row r="99" spans="1:43" x14ac:dyDescent="0.25">
      <c r="A99">
        <v>6895</v>
      </c>
      <c r="B99">
        <v>167</v>
      </c>
      <c r="C99">
        <v>2491</v>
      </c>
      <c r="D99">
        <v>6</v>
      </c>
      <c r="E99">
        <v>1197</v>
      </c>
      <c r="F99">
        <v>11359</v>
      </c>
      <c r="G99">
        <v>2193</v>
      </c>
      <c r="H99">
        <v>1662</v>
      </c>
      <c r="I99">
        <v>605</v>
      </c>
      <c r="J99">
        <v>7.39</v>
      </c>
      <c r="K99">
        <v>0.74</v>
      </c>
      <c r="L99">
        <v>7.74</v>
      </c>
      <c r="M99">
        <v>1.01</v>
      </c>
      <c r="N99">
        <v>0.01</v>
      </c>
      <c r="O99">
        <v>2.48</v>
      </c>
      <c r="P99">
        <v>23.53</v>
      </c>
      <c r="Q99">
        <v>0.52</v>
      </c>
      <c r="R99">
        <v>24.76</v>
      </c>
      <c r="S99">
        <v>29.49</v>
      </c>
      <c r="T99">
        <v>2.66</v>
      </c>
      <c r="U99">
        <v>21.49</v>
      </c>
      <c r="V99">
        <v>31.37</v>
      </c>
      <c r="W99">
        <v>4.24</v>
      </c>
      <c r="X99">
        <v>1797</v>
      </c>
      <c r="Y99">
        <v>1648</v>
      </c>
      <c r="Z99">
        <v>1098</v>
      </c>
      <c r="AA99">
        <v>1865</v>
      </c>
      <c r="AB99">
        <v>6794</v>
      </c>
      <c r="AC99">
        <v>565</v>
      </c>
      <c r="AD99">
        <v>5623</v>
      </c>
      <c r="AE99">
        <v>1017</v>
      </c>
      <c r="AF99">
        <v>2051</v>
      </c>
      <c r="AG99">
        <v>15.765000000000001</v>
      </c>
      <c r="AH99">
        <v>15655</v>
      </c>
      <c r="AI99">
        <v>0.61</v>
      </c>
      <c r="AJ99">
        <v>0.42</v>
      </c>
      <c r="AK99">
        <v>0.145298986352318</v>
      </c>
      <c r="AL99">
        <v>1.80329299099379</v>
      </c>
      <c r="AM99">
        <v>27.752213032647401</v>
      </c>
      <c r="AN99">
        <v>4.71</v>
      </c>
      <c r="AO99">
        <v>24.03</v>
      </c>
      <c r="AP99">
        <v>4.75</v>
      </c>
      <c r="AQ99">
        <v>6.47</v>
      </c>
    </row>
    <row r="100" spans="1:43" x14ac:dyDescent="0.25">
      <c r="A100">
        <v>6495</v>
      </c>
      <c r="B100">
        <v>174</v>
      </c>
      <c r="C100">
        <v>2468</v>
      </c>
      <c r="D100">
        <v>228</v>
      </c>
      <c r="E100">
        <v>440</v>
      </c>
      <c r="F100">
        <v>11992</v>
      </c>
      <c r="G100">
        <v>2292</v>
      </c>
      <c r="H100">
        <v>1737</v>
      </c>
      <c r="I100">
        <v>431</v>
      </c>
      <c r="J100">
        <v>6.96</v>
      </c>
      <c r="K100">
        <v>0.77</v>
      </c>
      <c r="L100">
        <v>7.67</v>
      </c>
      <c r="M100">
        <v>0.72</v>
      </c>
      <c r="N100">
        <v>0.47</v>
      </c>
      <c r="O100">
        <v>0.91</v>
      </c>
      <c r="P100">
        <v>24.84</v>
      </c>
      <c r="Q100">
        <v>0.54</v>
      </c>
      <c r="R100">
        <v>24.54</v>
      </c>
      <c r="S100">
        <v>29.29</v>
      </c>
      <c r="T100">
        <v>2.41</v>
      </c>
      <c r="U100">
        <v>23.03</v>
      </c>
      <c r="V100">
        <v>33.119999999999997</v>
      </c>
      <c r="W100">
        <v>2.56</v>
      </c>
      <c r="X100">
        <v>1962</v>
      </c>
      <c r="Y100">
        <v>1722</v>
      </c>
      <c r="Z100">
        <v>1159</v>
      </c>
      <c r="AA100">
        <v>1867</v>
      </c>
      <c r="AB100">
        <v>6951</v>
      </c>
      <c r="AC100">
        <v>559</v>
      </c>
      <c r="AD100">
        <v>5586</v>
      </c>
      <c r="AE100">
        <v>725</v>
      </c>
      <c r="AF100">
        <v>1729</v>
      </c>
      <c r="AG100">
        <v>15.84</v>
      </c>
      <c r="AH100">
        <v>15268</v>
      </c>
      <c r="AI100">
        <v>0.6</v>
      </c>
      <c r="AJ100">
        <v>0.42</v>
      </c>
      <c r="AK100">
        <v>0.22122661339799601</v>
      </c>
      <c r="AL100">
        <v>2.1971234247715699</v>
      </c>
      <c r="AM100">
        <v>32.412025393128097</v>
      </c>
      <c r="AN100">
        <v>2.27</v>
      </c>
      <c r="AO100">
        <v>22.57</v>
      </c>
      <c r="AP100">
        <v>0.39</v>
      </c>
      <c r="AQ100">
        <v>0.53</v>
      </c>
    </row>
    <row r="101" spans="1:43" x14ac:dyDescent="0.25">
      <c r="A101">
        <v>6499</v>
      </c>
      <c r="B101">
        <v>213</v>
      </c>
      <c r="C101">
        <v>2629</v>
      </c>
      <c r="D101">
        <v>133</v>
      </c>
      <c r="E101">
        <v>34</v>
      </c>
      <c r="F101">
        <v>11660</v>
      </c>
      <c r="G101">
        <v>2411</v>
      </c>
      <c r="H101">
        <v>1828</v>
      </c>
      <c r="I101">
        <v>221</v>
      </c>
      <c r="J101">
        <v>6.96</v>
      </c>
      <c r="K101">
        <v>0.95</v>
      </c>
      <c r="L101">
        <v>8.17</v>
      </c>
      <c r="M101">
        <v>0.37</v>
      </c>
      <c r="N101">
        <v>0.28000000000000003</v>
      </c>
      <c r="O101">
        <v>7.0000000000000007E-2</v>
      </c>
      <c r="P101">
        <v>24.15</v>
      </c>
      <c r="Q101">
        <v>0.66</v>
      </c>
      <c r="R101">
        <v>26.14</v>
      </c>
      <c r="S101">
        <v>29.26</v>
      </c>
      <c r="T101">
        <v>2.41</v>
      </c>
      <c r="U101">
        <v>23.95</v>
      </c>
      <c r="V101">
        <v>32.200000000000003</v>
      </c>
      <c r="W101">
        <v>1.97</v>
      </c>
      <c r="X101">
        <v>2025</v>
      </c>
      <c r="Y101">
        <v>1811</v>
      </c>
      <c r="Z101">
        <v>1127</v>
      </c>
      <c r="AA101">
        <v>1867</v>
      </c>
      <c r="AB101">
        <v>7021</v>
      </c>
      <c r="AC101">
        <v>554</v>
      </c>
      <c r="AD101">
        <v>5601</v>
      </c>
      <c r="AE101">
        <v>372</v>
      </c>
      <c r="AF101">
        <v>1412</v>
      </c>
      <c r="AG101">
        <v>15.954000000000001</v>
      </c>
      <c r="AH101">
        <v>14815</v>
      </c>
      <c r="AI101">
        <v>0.6</v>
      </c>
      <c r="AJ101">
        <v>0.42</v>
      </c>
      <c r="AK101">
        <v>0.38071809815686802</v>
      </c>
      <c r="AL101">
        <v>1.76090147777141</v>
      </c>
      <c r="AM101">
        <v>33.343138463345198</v>
      </c>
      <c r="AN101">
        <v>6.05</v>
      </c>
      <c r="AO101">
        <v>18.36</v>
      </c>
      <c r="AP101">
        <v>3.59</v>
      </c>
      <c r="AQ101">
        <v>4.9000000000000004</v>
      </c>
    </row>
    <row r="102" spans="1:43" x14ac:dyDescent="0.25">
      <c r="A102">
        <v>12389</v>
      </c>
      <c r="B102">
        <v>3989</v>
      </c>
      <c r="C102">
        <v>1212</v>
      </c>
      <c r="D102">
        <v>21</v>
      </c>
      <c r="E102">
        <v>965</v>
      </c>
      <c r="F102">
        <v>11982</v>
      </c>
      <c r="G102">
        <v>400</v>
      </c>
      <c r="H102">
        <v>303</v>
      </c>
      <c r="I102">
        <v>3757</v>
      </c>
      <c r="J102">
        <v>13.27</v>
      </c>
      <c r="K102">
        <v>17.7</v>
      </c>
      <c r="L102">
        <v>3.77</v>
      </c>
      <c r="M102">
        <v>6.25</v>
      </c>
      <c r="N102">
        <v>0.04</v>
      </c>
      <c r="O102">
        <v>2</v>
      </c>
      <c r="P102">
        <v>24.82</v>
      </c>
      <c r="Q102">
        <v>12.39</v>
      </c>
      <c r="R102">
        <v>12.05</v>
      </c>
      <c r="S102">
        <v>14.62</v>
      </c>
      <c r="T102">
        <v>9.36</v>
      </c>
      <c r="U102">
        <v>3.97</v>
      </c>
      <c r="V102">
        <v>33.090000000000003</v>
      </c>
      <c r="W102">
        <v>37.630000000000003</v>
      </c>
      <c r="X102">
        <v>336</v>
      </c>
      <c r="Y102">
        <v>301</v>
      </c>
      <c r="Z102">
        <v>1158</v>
      </c>
      <c r="AA102">
        <v>515</v>
      </c>
      <c r="AB102">
        <v>5566</v>
      </c>
      <c r="AC102">
        <v>1099</v>
      </c>
      <c r="AD102">
        <v>5758</v>
      </c>
      <c r="AE102">
        <v>6316</v>
      </c>
      <c r="AF102">
        <v>9280</v>
      </c>
      <c r="AG102">
        <v>10.538</v>
      </c>
      <c r="AH102">
        <v>25565</v>
      </c>
      <c r="AI102">
        <v>0.44</v>
      </c>
      <c r="AJ102">
        <v>0.43</v>
      </c>
      <c r="AK102">
        <v>0.14730627906758201</v>
      </c>
      <c r="AL102">
        <v>1.8144787653736301</v>
      </c>
      <c r="AM102">
        <v>33.793906114930301</v>
      </c>
      <c r="AN102">
        <v>3.58</v>
      </c>
      <c r="AO102">
        <v>20.63</v>
      </c>
      <c r="AP102">
        <v>0.54</v>
      </c>
      <c r="AQ102">
        <v>0.75</v>
      </c>
    </row>
    <row r="103" spans="1:43" x14ac:dyDescent="0.25">
      <c r="A103">
        <v>10217</v>
      </c>
      <c r="B103">
        <v>4236</v>
      </c>
      <c r="C103">
        <v>1171</v>
      </c>
      <c r="D103">
        <v>87</v>
      </c>
      <c r="E103">
        <v>1116</v>
      </c>
      <c r="F103">
        <v>11588</v>
      </c>
      <c r="G103">
        <v>10</v>
      </c>
      <c r="H103">
        <v>7</v>
      </c>
      <c r="I103">
        <v>4443</v>
      </c>
      <c r="J103">
        <v>10.95</v>
      </c>
      <c r="K103">
        <v>18.8</v>
      </c>
      <c r="L103">
        <v>3.64</v>
      </c>
      <c r="M103">
        <v>7.39</v>
      </c>
      <c r="N103">
        <v>0.18</v>
      </c>
      <c r="O103">
        <v>2.31</v>
      </c>
      <c r="P103">
        <v>24</v>
      </c>
      <c r="Q103">
        <v>13.16</v>
      </c>
      <c r="R103">
        <v>11.65</v>
      </c>
      <c r="S103">
        <v>15.14</v>
      </c>
      <c r="T103">
        <v>7.64</v>
      </c>
      <c r="U103">
        <v>0.32</v>
      </c>
      <c r="V103">
        <v>32</v>
      </c>
      <c r="W103">
        <v>40.17</v>
      </c>
      <c r="X103">
        <v>40</v>
      </c>
      <c r="Y103">
        <v>7</v>
      </c>
      <c r="Z103">
        <v>1120</v>
      </c>
      <c r="AA103">
        <v>633</v>
      </c>
      <c r="AB103">
        <v>5276</v>
      </c>
      <c r="AC103">
        <v>1081</v>
      </c>
      <c r="AD103">
        <v>5866</v>
      </c>
      <c r="AE103">
        <v>7469</v>
      </c>
      <c r="AF103">
        <v>10165</v>
      </c>
      <c r="AG103">
        <v>10.872</v>
      </c>
      <c r="AH103">
        <v>26955</v>
      </c>
      <c r="AI103">
        <v>0.41</v>
      </c>
      <c r="AJ103">
        <v>0.43</v>
      </c>
      <c r="AK103">
        <v>0.15880006283116099</v>
      </c>
      <c r="AL103">
        <v>1.7739395645500999</v>
      </c>
      <c r="AM103">
        <v>32.438969791630797</v>
      </c>
      <c r="AN103">
        <v>2.39</v>
      </c>
      <c r="AO103">
        <v>22.86</v>
      </c>
      <c r="AP103">
        <v>10.47</v>
      </c>
      <c r="AQ103">
        <v>14.27</v>
      </c>
    </row>
    <row r="104" spans="1:43" x14ac:dyDescent="0.25">
      <c r="A104">
        <v>10039</v>
      </c>
      <c r="B104">
        <v>4458</v>
      </c>
      <c r="C104">
        <v>1195</v>
      </c>
      <c r="D104">
        <v>42</v>
      </c>
      <c r="E104">
        <v>855</v>
      </c>
      <c r="F104">
        <v>11447</v>
      </c>
      <c r="G104">
        <v>83</v>
      </c>
      <c r="H104">
        <v>63</v>
      </c>
      <c r="I104">
        <v>4314</v>
      </c>
      <c r="J104">
        <v>10.75</v>
      </c>
      <c r="K104">
        <v>19.79</v>
      </c>
      <c r="L104">
        <v>3.71</v>
      </c>
      <c r="M104">
        <v>7.18</v>
      </c>
      <c r="N104">
        <v>0.09</v>
      </c>
      <c r="O104">
        <v>1.77</v>
      </c>
      <c r="P104">
        <v>23.71</v>
      </c>
      <c r="Q104">
        <v>13.85</v>
      </c>
      <c r="R104">
        <v>11.88</v>
      </c>
      <c r="S104">
        <v>14.34</v>
      </c>
      <c r="T104">
        <v>7.77</v>
      </c>
      <c r="U104">
        <v>0.92</v>
      </c>
      <c r="V104">
        <v>31.61</v>
      </c>
      <c r="W104">
        <v>41.54</v>
      </c>
      <c r="X104">
        <v>84</v>
      </c>
      <c r="Y104">
        <v>62</v>
      </c>
      <c r="Z104">
        <v>1106</v>
      </c>
      <c r="AA104">
        <v>574</v>
      </c>
      <c r="AB104">
        <v>5420</v>
      </c>
      <c r="AC104">
        <v>1097</v>
      </c>
      <c r="AD104">
        <v>5851</v>
      </c>
      <c r="AE104">
        <v>7252</v>
      </c>
      <c r="AF104">
        <v>9999</v>
      </c>
      <c r="AG104">
        <v>10.987</v>
      </c>
      <c r="AH104">
        <v>26802</v>
      </c>
      <c r="AI104">
        <v>0.4</v>
      </c>
      <c r="AJ104">
        <v>0.43</v>
      </c>
      <c r="AK104">
        <v>0.16571458901769801</v>
      </c>
      <c r="AL104">
        <v>1.8490049275474001</v>
      </c>
      <c r="AM104">
        <v>32.333547866521201</v>
      </c>
      <c r="AN104">
        <v>0.84</v>
      </c>
      <c r="AO104">
        <v>24.42</v>
      </c>
      <c r="AP104">
        <v>0.21</v>
      </c>
      <c r="AQ104">
        <v>0.28999999999999998</v>
      </c>
    </row>
    <row r="105" spans="1:43" x14ac:dyDescent="0.25">
      <c r="A105">
        <v>9787</v>
      </c>
      <c r="B105">
        <v>3891</v>
      </c>
      <c r="C105">
        <v>1232</v>
      </c>
      <c r="D105">
        <v>32</v>
      </c>
      <c r="E105">
        <v>1521</v>
      </c>
      <c r="F105">
        <v>11462</v>
      </c>
      <c r="G105">
        <v>130</v>
      </c>
      <c r="H105">
        <v>99</v>
      </c>
      <c r="I105">
        <v>4231</v>
      </c>
      <c r="J105">
        <v>10.48</v>
      </c>
      <c r="K105">
        <v>17.27</v>
      </c>
      <c r="L105">
        <v>3.83</v>
      </c>
      <c r="M105">
        <v>7.04</v>
      </c>
      <c r="N105">
        <v>7.0000000000000007E-2</v>
      </c>
      <c r="O105">
        <v>3.15</v>
      </c>
      <c r="P105">
        <v>23.74</v>
      </c>
      <c r="Q105">
        <v>12.09</v>
      </c>
      <c r="R105">
        <v>12.25</v>
      </c>
      <c r="S105">
        <v>16.16</v>
      </c>
      <c r="T105">
        <v>6.83</v>
      </c>
      <c r="U105">
        <v>1.36</v>
      </c>
      <c r="V105">
        <v>31.65</v>
      </c>
      <c r="W105">
        <v>38.049999999999997</v>
      </c>
      <c r="X105">
        <v>119</v>
      </c>
      <c r="Y105">
        <v>98</v>
      </c>
      <c r="Z105">
        <v>1108</v>
      </c>
      <c r="AA105">
        <v>746</v>
      </c>
      <c r="AB105">
        <v>5365</v>
      </c>
      <c r="AC105">
        <v>1037</v>
      </c>
      <c r="AD105">
        <v>5848</v>
      </c>
      <c r="AE105">
        <v>7112</v>
      </c>
      <c r="AF105">
        <v>9628</v>
      </c>
      <c r="AG105">
        <v>11.343</v>
      </c>
      <c r="AH105">
        <v>26227</v>
      </c>
      <c r="AI105">
        <v>0.42</v>
      </c>
      <c r="AJ105">
        <v>0.43</v>
      </c>
      <c r="AK105">
        <v>0.189034047695087</v>
      </c>
      <c r="AL105">
        <v>1.8216149280852301</v>
      </c>
      <c r="AM105">
        <v>33.4632682589599</v>
      </c>
      <c r="AN105">
        <v>11.34</v>
      </c>
      <c r="AO105">
        <v>13.07</v>
      </c>
      <c r="AP105">
        <v>0.48</v>
      </c>
      <c r="AQ105">
        <v>0.66</v>
      </c>
    </row>
    <row r="106" spans="1:43" x14ac:dyDescent="0.25">
      <c r="A106">
        <v>8597</v>
      </c>
      <c r="B106">
        <v>4278</v>
      </c>
      <c r="C106">
        <v>1168</v>
      </c>
      <c r="D106">
        <v>335</v>
      </c>
      <c r="E106">
        <v>705</v>
      </c>
      <c r="F106">
        <v>11702</v>
      </c>
      <c r="G106">
        <v>118</v>
      </c>
      <c r="H106">
        <v>90</v>
      </c>
      <c r="I106">
        <v>4252</v>
      </c>
      <c r="J106">
        <v>9.2100000000000009</v>
      </c>
      <c r="K106">
        <v>18.989999999999998</v>
      </c>
      <c r="L106">
        <v>3.63</v>
      </c>
      <c r="M106">
        <v>7.07</v>
      </c>
      <c r="N106">
        <v>0.69</v>
      </c>
      <c r="O106">
        <v>1.46</v>
      </c>
      <c r="P106">
        <v>24.24</v>
      </c>
      <c r="Q106">
        <v>13.29</v>
      </c>
      <c r="R106">
        <v>11.62</v>
      </c>
      <c r="S106">
        <v>15.02</v>
      </c>
      <c r="T106">
        <v>6.3</v>
      </c>
      <c r="U106">
        <v>2.0299999999999998</v>
      </c>
      <c r="V106">
        <v>32.32</v>
      </c>
      <c r="W106">
        <v>39.6</v>
      </c>
      <c r="X106">
        <v>223</v>
      </c>
      <c r="Y106">
        <v>89</v>
      </c>
      <c r="Z106">
        <v>1131</v>
      </c>
      <c r="AA106">
        <v>700</v>
      </c>
      <c r="AB106">
        <v>5569</v>
      </c>
      <c r="AC106">
        <v>1052</v>
      </c>
      <c r="AD106">
        <v>5831</v>
      </c>
      <c r="AE106">
        <v>7148</v>
      </c>
      <c r="AF106">
        <v>9620</v>
      </c>
      <c r="AG106">
        <v>11.625999999999999</v>
      </c>
      <c r="AH106">
        <v>26443</v>
      </c>
      <c r="AI106">
        <v>0.39</v>
      </c>
      <c r="AJ106">
        <v>0.43</v>
      </c>
      <c r="AK106">
        <v>3.7411683169316097E-2</v>
      </c>
      <c r="AL106">
        <v>2.03263829365335</v>
      </c>
      <c r="AM106">
        <v>33.794351177286103</v>
      </c>
      <c r="AN106">
        <v>15.22</v>
      </c>
      <c r="AO106">
        <v>8.8800000000000008</v>
      </c>
      <c r="AP106">
        <v>0.04</v>
      </c>
      <c r="AQ106">
        <v>0.05</v>
      </c>
    </row>
    <row r="107" spans="1:43" x14ac:dyDescent="0.25">
      <c r="A107">
        <v>14389</v>
      </c>
      <c r="B107">
        <v>2241</v>
      </c>
      <c r="C107">
        <v>1977</v>
      </c>
      <c r="D107">
        <v>58</v>
      </c>
      <c r="E107">
        <v>1028</v>
      </c>
      <c r="F107">
        <v>10831</v>
      </c>
      <c r="G107">
        <v>1419</v>
      </c>
      <c r="H107">
        <v>1075</v>
      </c>
      <c r="I107">
        <v>1966</v>
      </c>
      <c r="J107">
        <v>15.41</v>
      </c>
      <c r="K107">
        <v>9.9499999999999993</v>
      </c>
      <c r="L107">
        <v>6.14</v>
      </c>
      <c r="M107">
        <v>3.27</v>
      </c>
      <c r="N107">
        <v>0.12</v>
      </c>
      <c r="O107">
        <v>2.13</v>
      </c>
      <c r="P107">
        <v>22.44</v>
      </c>
      <c r="Q107">
        <v>6.96</v>
      </c>
      <c r="R107">
        <v>19.649999999999999</v>
      </c>
      <c r="S107">
        <v>19.690000000000001</v>
      </c>
      <c r="T107">
        <v>9.42</v>
      </c>
      <c r="U107">
        <v>14.04</v>
      </c>
      <c r="V107">
        <v>29.91</v>
      </c>
      <c r="W107">
        <v>22.26</v>
      </c>
      <c r="X107">
        <v>1183</v>
      </c>
      <c r="Y107">
        <v>1066</v>
      </c>
      <c r="Z107">
        <v>1047</v>
      </c>
      <c r="AA107">
        <v>863</v>
      </c>
      <c r="AB107">
        <v>6095</v>
      </c>
      <c r="AC107">
        <v>936</v>
      </c>
      <c r="AD107">
        <v>5694</v>
      </c>
      <c r="AE107">
        <v>3305</v>
      </c>
      <c r="AF107">
        <v>6062</v>
      </c>
      <c r="AG107">
        <v>11.773</v>
      </c>
      <c r="AH107">
        <v>20808</v>
      </c>
      <c r="AI107">
        <v>0.54</v>
      </c>
      <c r="AJ107">
        <v>0.43</v>
      </c>
      <c r="AK107">
        <v>0.52777045023126601</v>
      </c>
      <c r="AL107">
        <v>1.2636480322766801</v>
      </c>
      <c r="AM107">
        <v>28.8872493594851</v>
      </c>
      <c r="AN107">
        <v>3.62</v>
      </c>
      <c r="AO107">
        <v>24.45</v>
      </c>
      <c r="AP107">
        <v>10.45</v>
      </c>
      <c r="AQ107">
        <v>14.24</v>
      </c>
    </row>
    <row r="108" spans="1:43" x14ac:dyDescent="0.25">
      <c r="A108">
        <v>13708</v>
      </c>
      <c r="B108">
        <v>2243</v>
      </c>
      <c r="C108">
        <v>1977</v>
      </c>
      <c r="D108">
        <v>58</v>
      </c>
      <c r="E108">
        <v>1108</v>
      </c>
      <c r="F108">
        <v>10749</v>
      </c>
      <c r="G108">
        <v>1385</v>
      </c>
      <c r="H108">
        <v>1050</v>
      </c>
      <c r="I108">
        <v>2025</v>
      </c>
      <c r="J108">
        <v>14.69</v>
      </c>
      <c r="K108">
        <v>9.9600000000000009</v>
      </c>
      <c r="L108">
        <v>6.14</v>
      </c>
      <c r="M108">
        <v>3.37</v>
      </c>
      <c r="N108">
        <v>0.12</v>
      </c>
      <c r="O108">
        <v>2.29</v>
      </c>
      <c r="P108">
        <v>22.26</v>
      </c>
      <c r="Q108">
        <v>6.97</v>
      </c>
      <c r="R108">
        <v>19.649999999999999</v>
      </c>
      <c r="S108">
        <v>19.89</v>
      </c>
      <c r="T108">
        <v>8.8000000000000007</v>
      </c>
      <c r="U108">
        <v>13.71</v>
      </c>
      <c r="V108">
        <v>29.69</v>
      </c>
      <c r="W108">
        <v>22.46</v>
      </c>
      <c r="X108">
        <v>1156</v>
      </c>
      <c r="Y108">
        <v>1041</v>
      </c>
      <c r="Z108">
        <v>1039</v>
      </c>
      <c r="AA108">
        <v>909</v>
      </c>
      <c r="AB108">
        <v>6097</v>
      </c>
      <c r="AC108">
        <v>922</v>
      </c>
      <c r="AD108">
        <v>5706</v>
      </c>
      <c r="AE108">
        <v>3404</v>
      </c>
      <c r="AF108">
        <v>6056</v>
      </c>
      <c r="AG108">
        <v>12.009</v>
      </c>
      <c r="AH108">
        <v>20863</v>
      </c>
      <c r="AI108">
        <v>0.53</v>
      </c>
      <c r="AJ108">
        <v>0.43</v>
      </c>
      <c r="AK108">
        <v>0.15880006283116099</v>
      </c>
      <c r="AL108">
        <v>1.9972786344942699</v>
      </c>
      <c r="AM108">
        <v>27.2158614499319</v>
      </c>
      <c r="AN108">
        <v>6.1</v>
      </c>
      <c r="AO108">
        <v>22.86</v>
      </c>
      <c r="AP108">
        <v>10.47</v>
      </c>
      <c r="AQ108">
        <v>14.27</v>
      </c>
    </row>
    <row r="109" spans="1:43" x14ac:dyDescent="0.25">
      <c r="A109">
        <v>12767</v>
      </c>
      <c r="B109">
        <v>2303</v>
      </c>
      <c r="C109">
        <v>1805</v>
      </c>
      <c r="D109">
        <v>17</v>
      </c>
      <c r="E109">
        <v>1070</v>
      </c>
      <c r="F109">
        <v>11560</v>
      </c>
      <c r="G109">
        <v>1400</v>
      </c>
      <c r="H109">
        <v>1061</v>
      </c>
      <c r="I109">
        <v>1999</v>
      </c>
      <c r="J109">
        <v>13.68</v>
      </c>
      <c r="K109">
        <v>10.220000000000001</v>
      </c>
      <c r="L109">
        <v>5.61</v>
      </c>
      <c r="M109">
        <v>3.33</v>
      </c>
      <c r="N109">
        <v>0.04</v>
      </c>
      <c r="O109">
        <v>2.2200000000000002</v>
      </c>
      <c r="P109">
        <v>23.94</v>
      </c>
      <c r="Q109">
        <v>7.16</v>
      </c>
      <c r="R109">
        <v>17.95</v>
      </c>
      <c r="S109">
        <v>19.329999999999998</v>
      </c>
      <c r="T109">
        <v>8.08</v>
      </c>
      <c r="U109">
        <v>13.75</v>
      </c>
      <c r="V109">
        <v>31.93</v>
      </c>
      <c r="W109">
        <v>22.91</v>
      </c>
      <c r="X109">
        <v>1153</v>
      </c>
      <c r="Y109">
        <v>1052</v>
      </c>
      <c r="Z109">
        <v>1117</v>
      </c>
      <c r="AA109">
        <v>913</v>
      </c>
      <c r="AB109">
        <v>6227</v>
      </c>
      <c r="AC109">
        <v>918</v>
      </c>
      <c r="AD109">
        <v>5643</v>
      </c>
      <c r="AE109">
        <v>3360</v>
      </c>
      <c r="AF109">
        <v>5894</v>
      </c>
      <c r="AG109">
        <v>12.169</v>
      </c>
      <c r="AH109">
        <v>20737</v>
      </c>
      <c r="AI109">
        <v>0.52</v>
      </c>
      <c r="AJ109">
        <v>0.43</v>
      </c>
      <c r="AK109">
        <v>0.353974897626887</v>
      </c>
      <c r="AL109">
        <v>1.72242449123055</v>
      </c>
      <c r="AM109">
        <v>33.069281641016097</v>
      </c>
      <c r="AN109">
        <v>12.41</v>
      </c>
      <c r="AO109">
        <v>12.25</v>
      </c>
      <c r="AP109">
        <v>0.02</v>
      </c>
      <c r="AQ109">
        <v>0.02</v>
      </c>
    </row>
    <row r="110" spans="1:43" x14ac:dyDescent="0.25">
      <c r="A110">
        <v>7375</v>
      </c>
      <c r="B110">
        <v>3773</v>
      </c>
      <c r="C110">
        <v>1314</v>
      </c>
      <c r="D110">
        <v>160</v>
      </c>
      <c r="E110">
        <v>736</v>
      </c>
      <c r="F110">
        <v>11902</v>
      </c>
      <c r="G110">
        <v>381</v>
      </c>
      <c r="H110">
        <v>289</v>
      </c>
      <c r="I110">
        <v>3790</v>
      </c>
      <c r="J110">
        <v>7.9</v>
      </c>
      <c r="K110">
        <v>16.75</v>
      </c>
      <c r="L110">
        <v>4.08</v>
      </c>
      <c r="M110">
        <v>6.3</v>
      </c>
      <c r="N110">
        <v>0.33</v>
      </c>
      <c r="O110">
        <v>1.53</v>
      </c>
      <c r="P110">
        <v>24.65</v>
      </c>
      <c r="Q110">
        <v>11.72</v>
      </c>
      <c r="R110">
        <v>13.07</v>
      </c>
      <c r="S110">
        <v>16.63</v>
      </c>
      <c r="T110">
        <v>4.67</v>
      </c>
      <c r="U110">
        <v>4.1500000000000004</v>
      </c>
      <c r="V110">
        <v>32.869999999999997</v>
      </c>
      <c r="W110">
        <v>35.19</v>
      </c>
      <c r="X110">
        <v>372</v>
      </c>
      <c r="Y110">
        <v>286</v>
      </c>
      <c r="Z110">
        <v>1150</v>
      </c>
      <c r="AA110">
        <v>900</v>
      </c>
      <c r="AB110">
        <v>5756</v>
      </c>
      <c r="AC110">
        <v>973</v>
      </c>
      <c r="AD110">
        <v>5798</v>
      </c>
      <c r="AE110">
        <v>6371</v>
      </c>
      <c r="AF110">
        <v>8524</v>
      </c>
      <c r="AG110">
        <v>12.398</v>
      </c>
      <c r="AH110">
        <v>24947</v>
      </c>
      <c r="AI110">
        <v>0.39</v>
      </c>
      <c r="AJ110">
        <v>0.43</v>
      </c>
      <c r="AK110">
        <v>1.2962652435098299E-3</v>
      </c>
      <c r="AL110">
        <v>1.8908079749287801</v>
      </c>
      <c r="AM110">
        <v>33.668676896035898</v>
      </c>
      <c r="AN110">
        <v>7.16</v>
      </c>
      <c r="AO110">
        <v>17.18</v>
      </c>
      <c r="AP110">
        <v>8.33</v>
      </c>
      <c r="AQ110">
        <v>11.36</v>
      </c>
    </row>
    <row r="111" spans="1:43" x14ac:dyDescent="0.25">
      <c r="A111">
        <v>12973</v>
      </c>
      <c r="B111">
        <v>1406</v>
      </c>
      <c r="C111">
        <v>2043</v>
      </c>
      <c r="D111">
        <v>0</v>
      </c>
      <c r="E111">
        <v>1513</v>
      </c>
      <c r="F111">
        <v>11339</v>
      </c>
      <c r="G111">
        <v>1788</v>
      </c>
      <c r="H111">
        <v>1355</v>
      </c>
      <c r="I111">
        <v>1317</v>
      </c>
      <c r="J111">
        <v>13.9</v>
      </c>
      <c r="K111">
        <v>6.24</v>
      </c>
      <c r="L111">
        <v>6.35</v>
      </c>
      <c r="M111">
        <v>2.19</v>
      </c>
      <c r="N111">
        <v>0</v>
      </c>
      <c r="O111">
        <v>3.13</v>
      </c>
      <c r="P111">
        <v>23.49</v>
      </c>
      <c r="Q111">
        <v>4.37</v>
      </c>
      <c r="R111">
        <v>20.309999999999999</v>
      </c>
      <c r="S111">
        <v>22.37</v>
      </c>
      <c r="T111">
        <v>7.75</v>
      </c>
      <c r="U111">
        <v>17.510000000000002</v>
      </c>
      <c r="V111">
        <v>31.32</v>
      </c>
      <c r="W111">
        <v>15.96</v>
      </c>
      <c r="X111">
        <v>1465</v>
      </c>
      <c r="Y111">
        <v>1343</v>
      </c>
      <c r="Z111">
        <v>1096</v>
      </c>
      <c r="AA111">
        <v>1133</v>
      </c>
      <c r="AB111">
        <v>6431</v>
      </c>
      <c r="AC111">
        <v>826</v>
      </c>
      <c r="AD111">
        <v>5601</v>
      </c>
      <c r="AE111">
        <v>2214</v>
      </c>
      <c r="AF111">
        <v>4501</v>
      </c>
      <c r="AG111">
        <v>12.898999999999999</v>
      </c>
      <c r="AH111">
        <v>18713</v>
      </c>
      <c r="AI111">
        <v>0.56999999999999995</v>
      </c>
      <c r="AJ111">
        <v>0.43</v>
      </c>
      <c r="AK111">
        <v>8.0330543365212406E-2</v>
      </c>
      <c r="AL111">
        <v>1.3984736799567199</v>
      </c>
      <c r="AM111">
        <v>33.218537844362302</v>
      </c>
      <c r="AN111">
        <v>0.16</v>
      </c>
      <c r="AO111">
        <v>24.9</v>
      </c>
      <c r="AP111">
        <v>3.35</v>
      </c>
      <c r="AQ111">
        <v>4.5599999999999996</v>
      </c>
    </row>
    <row r="112" spans="1:43" x14ac:dyDescent="0.25">
      <c r="A112">
        <v>8177</v>
      </c>
      <c r="B112">
        <v>2962</v>
      </c>
      <c r="C112">
        <v>1762</v>
      </c>
      <c r="D112">
        <v>128</v>
      </c>
      <c r="E112">
        <v>1771</v>
      </c>
      <c r="F112">
        <v>9968</v>
      </c>
      <c r="G112">
        <v>637</v>
      </c>
      <c r="H112">
        <v>483</v>
      </c>
      <c r="I112">
        <v>3340</v>
      </c>
      <c r="J112">
        <v>8.76</v>
      </c>
      <c r="K112">
        <v>13.15</v>
      </c>
      <c r="L112">
        <v>5.47</v>
      </c>
      <c r="M112">
        <v>5.56</v>
      </c>
      <c r="N112">
        <v>0.27</v>
      </c>
      <c r="O112">
        <v>3.67</v>
      </c>
      <c r="P112">
        <v>20.65</v>
      </c>
      <c r="Q112">
        <v>9.1999999999999993</v>
      </c>
      <c r="R112">
        <v>17.510000000000002</v>
      </c>
      <c r="S112">
        <v>19.850000000000001</v>
      </c>
      <c r="T112">
        <v>4.51</v>
      </c>
      <c r="U112">
        <v>6.57</v>
      </c>
      <c r="V112">
        <v>27.53</v>
      </c>
      <c r="W112">
        <v>30.37</v>
      </c>
      <c r="X112">
        <v>570</v>
      </c>
      <c r="Y112">
        <v>479</v>
      </c>
      <c r="Z112">
        <v>963</v>
      </c>
      <c r="AA112">
        <v>1122</v>
      </c>
      <c r="AB112">
        <v>5768</v>
      </c>
      <c r="AC112">
        <v>890</v>
      </c>
      <c r="AD112">
        <v>5866</v>
      </c>
      <c r="AE112">
        <v>5615</v>
      </c>
      <c r="AF112">
        <v>7600</v>
      </c>
      <c r="AG112">
        <v>13.218</v>
      </c>
      <c r="AH112">
        <v>23557</v>
      </c>
      <c r="AI112">
        <v>0.44</v>
      </c>
      <c r="AJ112">
        <v>0.43</v>
      </c>
      <c r="AK112">
        <v>8.1765201774763194E-2</v>
      </c>
      <c r="AL112">
        <v>2.3754561665479601</v>
      </c>
      <c r="AM112">
        <v>32.481873982780598</v>
      </c>
      <c r="AN112">
        <v>0.47</v>
      </c>
      <c r="AO112">
        <v>24.27</v>
      </c>
      <c r="AP112">
        <v>10.46</v>
      </c>
      <c r="AQ112">
        <v>14.25</v>
      </c>
    </row>
    <row r="113" spans="1:43" x14ac:dyDescent="0.25">
      <c r="A113">
        <v>14653</v>
      </c>
      <c r="B113">
        <v>768</v>
      </c>
      <c r="C113">
        <v>2299</v>
      </c>
      <c r="D113">
        <v>61</v>
      </c>
      <c r="E113">
        <v>771</v>
      </c>
      <c r="F113">
        <v>11746</v>
      </c>
      <c r="G113">
        <v>2527</v>
      </c>
      <c r="H113">
        <v>1915</v>
      </c>
      <c r="I113">
        <v>18</v>
      </c>
      <c r="J113">
        <v>15.7</v>
      </c>
      <c r="K113">
        <v>3.41</v>
      </c>
      <c r="L113">
        <v>7.14</v>
      </c>
      <c r="M113">
        <v>0.03</v>
      </c>
      <c r="N113">
        <v>0.13</v>
      </c>
      <c r="O113">
        <v>1.6</v>
      </c>
      <c r="P113">
        <v>24.33</v>
      </c>
      <c r="Q113">
        <v>2.39</v>
      </c>
      <c r="R113">
        <v>22.86</v>
      </c>
      <c r="S113">
        <v>23.25</v>
      </c>
      <c r="T113">
        <v>8.9700000000000006</v>
      </c>
      <c r="U113">
        <v>24.9</v>
      </c>
      <c r="V113">
        <v>32.44</v>
      </c>
      <c r="W113">
        <v>8.59</v>
      </c>
      <c r="X113">
        <v>2092</v>
      </c>
      <c r="Y113">
        <v>1898</v>
      </c>
      <c r="Z113">
        <v>1135</v>
      </c>
      <c r="AA113">
        <v>1139</v>
      </c>
      <c r="AB113">
        <v>7025</v>
      </c>
      <c r="AC113">
        <v>787</v>
      </c>
      <c r="AD113">
        <v>5456</v>
      </c>
      <c r="AE113">
        <v>30</v>
      </c>
      <c r="AF113">
        <v>2422</v>
      </c>
      <c r="AG113">
        <v>13.218999999999999</v>
      </c>
      <c r="AH113">
        <v>15709</v>
      </c>
      <c r="AI113">
        <v>0.63</v>
      </c>
      <c r="AJ113">
        <v>0.43</v>
      </c>
      <c r="AK113">
        <v>5.8354910910613997E-2</v>
      </c>
      <c r="AL113">
        <v>2.1270306441637699</v>
      </c>
      <c r="AM113">
        <v>33.2312960868258</v>
      </c>
      <c r="AN113">
        <v>0.24</v>
      </c>
      <c r="AO113">
        <v>24.17</v>
      </c>
      <c r="AP113">
        <v>7.28</v>
      </c>
      <c r="AQ113">
        <v>9.92</v>
      </c>
    </row>
    <row r="114" spans="1:43" x14ac:dyDescent="0.25">
      <c r="A114">
        <v>12653</v>
      </c>
      <c r="B114">
        <v>1482</v>
      </c>
      <c r="C114">
        <v>2505</v>
      </c>
      <c r="D114">
        <v>2</v>
      </c>
      <c r="E114">
        <v>1166</v>
      </c>
      <c r="F114">
        <v>9352</v>
      </c>
      <c r="G114">
        <v>1703</v>
      </c>
      <c r="H114">
        <v>1291</v>
      </c>
      <c r="I114">
        <v>1466</v>
      </c>
      <c r="J114">
        <v>13.56</v>
      </c>
      <c r="K114">
        <v>6.58</v>
      </c>
      <c r="L114">
        <v>7.78</v>
      </c>
      <c r="M114">
        <v>2.44</v>
      </c>
      <c r="N114">
        <v>0</v>
      </c>
      <c r="O114">
        <v>2.42</v>
      </c>
      <c r="P114">
        <v>19.37</v>
      </c>
      <c r="Q114">
        <v>4.5999999999999996</v>
      </c>
      <c r="R114">
        <v>24.91</v>
      </c>
      <c r="S114">
        <v>23.67</v>
      </c>
      <c r="T114">
        <v>7.36</v>
      </c>
      <c r="U114">
        <v>16.68</v>
      </c>
      <c r="V114">
        <v>25.83</v>
      </c>
      <c r="W114">
        <v>15.84</v>
      </c>
      <c r="X114">
        <v>1396</v>
      </c>
      <c r="Y114">
        <v>1280</v>
      </c>
      <c r="Z114">
        <v>904</v>
      </c>
      <c r="AA114">
        <v>1235</v>
      </c>
      <c r="AB114">
        <v>6198</v>
      </c>
      <c r="AC114">
        <v>803</v>
      </c>
      <c r="AD114">
        <v>5781</v>
      </c>
      <c r="AE114">
        <v>2464</v>
      </c>
      <c r="AF114">
        <v>4735</v>
      </c>
      <c r="AG114">
        <v>13.24</v>
      </c>
      <c r="AH114">
        <v>19024</v>
      </c>
      <c r="AI114">
        <v>0.56999999999999995</v>
      </c>
      <c r="AJ114">
        <v>0.43</v>
      </c>
      <c r="AK114">
        <v>8.4094525832486597E-2</v>
      </c>
      <c r="AL114">
        <v>2.4117786602192499</v>
      </c>
      <c r="AM114">
        <v>31.833913052272401</v>
      </c>
      <c r="AN114">
        <v>1.4</v>
      </c>
      <c r="AO114">
        <v>23.79</v>
      </c>
      <c r="AP114">
        <v>8.86</v>
      </c>
      <c r="AQ114">
        <v>12.07</v>
      </c>
    </row>
    <row r="115" spans="1:43" x14ac:dyDescent="0.25">
      <c r="A115">
        <v>10603</v>
      </c>
      <c r="B115">
        <v>1620</v>
      </c>
      <c r="C115">
        <v>2009</v>
      </c>
      <c r="D115">
        <v>2</v>
      </c>
      <c r="E115">
        <v>1526</v>
      </c>
      <c r="F115">
        <v>11166</v>
      </c>
      <c r="G115">
        <v>1708</v>
      </c>
      <c r="H115">
        <v>1294</v>
      </c>
      <c r="I115">
        <v>1458</v>
      </c>
      <c r="J115">
        <v>11.36</v>
      </c>
      <c r="K115">
        <v>7.19</v>
      </c>
      <c r="L115">
        <v>6.24</v>
      </c>
      <c r="M115">
        <v>2.4300000000000002</v>
      </c>
      <c r="N115">
        <v>0</v>
      </c>
      <c r="O115">
        <v>3.16</v>
      </c>
      <c r="P115">
        <v>23.13</v>
      </c>
      <c r="Q115">
        <v>5.03</v>
      </c>
      <c r="R115">
        <v>19.97</v>
      </c>
      <c r="S115">
        <v>22.18</v>
      </c>
      <c r="T115">
        <v>5.84</v>
      </c>
      <c r="U115">
        <v>16.72</v>
      </c>
      <c r="V115">
        <v>30.84</v>
      </c>
      <c r="W115">
        <v>17.89</v>
      </c>
      <c r="X115">
        <v>1399</v>
      </c>
      <c r="Y115">
        <v>1284</v>
      </c>
      <c r="Z115">
        <v>1079</v>
      </c>
      <c r="AA115">
        <v>1223</v>
      </c>
      <c r="AB115">
        <v>6544</v>
      </c>
      <c r="AC115">
        <v>800</v>
      </c>
      <c r="AD115">
        <v>5615</v>
      </c>
      <c r="AE115">
        <v>2451</v>
      </c>
      <c r="AF115">
        <v>4440</v>
      </c>
      <c r="AG115">
        <v>13.679</v>
      </c>
      <c r="AH115">
        <v>18898</v>
      </c>
      <c r="AI115">
        <v>0.53</v>
      </c>
      <c r="AJ115">
        <v>0.43</v>
      </c>
      <c r="AK115">
        <v>0.15024863328649099</v>
      </c>
      <c r="AL115">
        <v>2.3663665992494698</v>
      </c>
      <c r="AM115">
        <v>29.913684636978999</v>
      </c>
      <c r="AN115">
        <v>6.96</v>
      </c>
      <c r="AO115">
        <v>19.649999999999999</v>
      </c>
      <c r="AP115">
        <v>5.88</v>
      </c>
      <c r="AQ115">
        <v>8.01</v>
      </c>
    </row>
    <row r="116" spans="1:43" x14ac:dyDescent="0.25">
      <c r="A116">
        <v>8538</v>
      </c>
      <c r="B116">
        <v>736</v>
      </c>
      <c r="C116">
        <v>2284</v>
      </c>
      <c r="D116">
        <v>2</v>
      </c>
      <c r="E116">
        <v>873</v>
      </c>
      <c r="F116">
        <v>11826</v>
      </c>
      <c r="G116">
        <v>2261</v>
      </c>
      <c r="H116">
        <v>1714</v>
      </c>
      <c r="I116">
        <v>485</v>
      </c>
      <c r="J116">
        <v>9.15</v>
      </c>
      <c r="K116">
        <v>3.27</v>
      </c>
      <c r="L116">
        <v>7.1</v>
      </c>
      <c r="M116">
        <v>0.81</v>
      </c>
      <c r="N116">
        <v>0</v>
      </c>
      <c r="O116">
        <v>1.81</v>
      </c>
      <c r="P116">
        <v>24.49</v>
      </c>
      <c r="Q116">
        <v>2.29</v>
      </c>
      <c r="R116">
        <v>22.71</v>
      </c>
      <c r="S116">
        <v>25.63</v>
      </c>
      <c r="T116">
        <v>3.92</v>
      </c>
      <c r="U116">
        <v>22.14</v>
      </c>
      <c r="V116">
        <v>32.659999999999997</v>
      </c>
      <c r="W116">
        <v>8.5500000000000007</v>
      </c>
      <c r="X116">
        <v>1852</v>
      </c>
      <c r="Y116">
        <v>1699</v>
      </c>
      <c r="Z116">
        <v>1143</v>
      </c>
      <c r="AA116">
        <v>1556</v>
      </c>
      <c r="AB116">
        <v>7007</v>
      </c>
      <c r="AC116">
        <v>662</v>
      </c>
      <c r="AD116">
        <v>5535</v>
      </c>
      <c r="AE116">
        <v>815</v>
      </c>
      <c r="AF116">
        <v>2276</v>
      </c>
      <c r="AG116">
        <v>15.047000000000001</v>
      </c>
      <c r="AH116">
        <v>15979</v>
      </c>
      <c r="AI116">
        <v>0.56999999999999995</v>
      </c>
      <c r="AJ116">
        <v>0.43</v>
      </c>
      <c r="AK116">
        <v>0.35313049967427701</v>
      </c>
      <c r="AL116">
        <v>2.0849819883855201</v>
      </c>
      <c r="AM116">
        <v>33.265045970682401</v>
      </c>
      <c r="AN116">
        <v>2.69</v>
      </c>
      <c r="AO116">
        <v>21.5</v>
      </c>
      <c r="AP116">
        <v>3.59</v>
      </c>
      <c r="AQ116">
        <v>4.9000000000000004</v>
      </c>
    </row>
    <row r="117" spans="1:43" x14ac:dyDescent="0.25">
      <c r="A117">
        <v>8318</v>
      </c>
      <c r="B117">
        <v>566</v>
      </c>
      <c r="C117">
        <v>2336</v>
      </c>
      <c r="D117">
        <v>33</v>
      </c>
      <c r="E117">
        <v>1047</v>
      </c>
      <c r="F117">
        <v>11627</v>
      </c>
      <c r="G117">
        <v>2166</v>
      </c>
      <c r="H117">
        <v>1642</v>
      </c>
      <c r="I117">
        <v>652</v>
      </c>
      <c r="J117">
        <v>8.91</v>
      </c>
      <c r="K117">
        <v>2.5099999999999998</v>
      </c>
      <c r="L117">
        <v>7.26</v>
      </c>
      <c r="M117">
        <v>1.08</v>
      </c>
      <c r="N117">
        <v>7.0000000000000007E-2</v>
      </c>
      <c r="O117">
        <v>2.17</v>
      </c>
      <c r="P117">
        <v>24.08</v>
      </c>
      <c r="Q117">
        <v>1.76</v>
      </c>
      <c r="R117">
        <v>23.22</v>
      </c>
      <c r="S117">
        <v>26.84</v>
      </c>
      <c r="T117">
        <v>3.71</v>
      </c>
      <c r="U117">
        <v>21.3</v>
      </c>
      <c r="V117">
        <v>32.11</v>
      </c>
      <c r="W117">
        <v>7.44</v>
      </c>
      <c r="X117">
        <v>1786</v>
      </c>
      <c r="Y117">
        <v>1628</v>
      </c>
      <c r="Z117">
        <v>1124</v>
      </c>
      <c r="AA117">
        <v>1642</v>
      </c>
      <c r="AB117">
        <v>6841</v>
      </c>
      <c r="AC117">
        <v>639</v>
      </c>
      <c r="AD117">
        <v>5579</v>
      </c>
      <c r="AE117">
        <v>1096</v>
      </c>
      <c r="AF117">
        <v>2465</v>
      </c>
      <c r="AG117">
        <v>15.090999999999999</v>
      </c>
      <c r="AH117">
        <v>16194</v>
      </c>
      <c r="AI117">
        <v>0.57999999999999996</v>
      </c>
      <c r="AJ117">
        <v>0.43</v>
      </c>
      <c r="AK117">
        <v>0.25211332740897702</v>
      </c>
      <c r="AL117">
        <v>3.2224049149929699</v>
      </c>
      <c r="AM117">
        <v>31.3150845785893</v>
      </c>
      <c r="AN117">
        <v>5.91</v>
      </c>
      <c r="AO117">
        <v>18.8</v>
      </c>
      <c r="AP117">
        <v>0.97</v>
      </c>
      <c r="AQ117">
        <v>1.33</v>
      </c>
    </row>
    <row r="118" spans="1:43" x14ac:dyDescent="0.25">
      <c r="A118">
        <v>6322</v>
      </c>
      <c r="B118">
        <v>246</v>
      </c>
      <c r="C118">
        <v>2481</v>
      </c>
      <c r="D118">
        <v>25</v>
      </c>
      <c r="E118">
        <v>643</v>
      </c>
      <c r="F118">
        <v>11823</v>
      </c>
      <c r="G118">
        <v>2437</v>
      </c>
      <c r="H118">
        <v>1847</v>
      </c>
      <c r="I118">
        <v>176</v>
      </c>
      <c r="J118">
        <v>6.77</v>
      </c>
      <c r="K118">
        <v>1.0900000000000001</v>
      </c>
      <c r="L118">
        <v>7.71</v>
      </c>
      <c r="M118">
        <v>0.28999999999999998</v>
      </c>
      <c r="N118">
        <v>0.05</v>
      </c>
      <c r="O118">
        <v>1.33</v>
      </c>
      <c r="P118">
        <v>24.49</v>
      </c>
      <c r="Q118">
        <v>0.76</v>
      </c>
      <c r="R118">
        <v>24.66</v>
      </c>
      <c r="S118">
        <v>28.68</v>
      </c>
      <c r="T118">
        <v>2.3199999999999998</v>
      </c>
      <c r="U118">
        <v>23.92</v>
      </c>
      <c r="V118">
        <v>32.65</v>
      </c>
      <c r="W118">
        <v>3.66</v>
      </c>
      <c r="X118">
        <v>2005</v>
      </c>
      <c r="Y118">
        <v>1831</v>
      </c>
      <c r="Z118">
        <v>1143</v>
      </c>
      <c r="AA118">
        <v>1836</v>
      </c>
      <c r="AB118">
        <v>7150</v>
      </c>
      <c r="AC118">
        <v>562</v>
      </c>
      <c r="AD118">
        <v>5544</v>
      </c>
      <c r="AE118">
        <v>296</v>
      </c>
      <c r="AF118">
        <v>1295</v>
      </c>
      <c r="AG118">
        <v>16.120999999999999</v>
      </c>
      <c r="AH118">
        <v>14732</v>
      </c>
      <c r="AI118">
        <v>0.59</v>
      </c>
      <c r="AJ118">
        <v>0.43</v>
      </c>
      <c r="AK118">
        <v>0.136498309956185</v>
      </c>
      <c r="AL118">
        <v>2.6805700042952498</v>
      </c>
      <c r="AM118">
        <v>32.842339491115297</v>
      </c>
      <c r="AN118">
        <v>4.42</v>
      </c>
      <c r="AO118">
        <v>19.73</v>
      </c>
      <c r="AP118">
        <v>0.01</v>
      </c>
      <c r="AQ118">
        <v>0.01</v>
      </c>
    </row>
    <row r="119" spans="1:43" x14ac:dyDescent="0.25">
      <c r="A119">
        <v>5652</v>
      </c>
      <c r="B119">
        <v>206</v>
      </c>
      <c r="C119">
        <v>2629</v>
      </c>
      <c r="D119">
        <v>133</v>
      </c>
      <c r="E119">
        <v>34</v>
      </c>
      <c r="F119">
        <v>11671</v>
      </c>
      <c r="G119">
        <v>2490</v>
      </c>
      <c r="H119">
        <v>1888</v>
      </c>
      <c r="I119">
        <v>82</v>
      </c>
      <c r="J119">
        <v>6.05</v>
      </c>
      <c r="K119">
        <v>0.91</v>
      </c>
      <c r="L119">
        <v>8.17</v>
      </c>
      <c r="M119">
        <v>0.14000000000000001</v>
      </c>
      <c r="N119">
        <v>0.28000000000000003</v>
      </c>
      <c r="O119">
        <v>7.0000000000000007E-2</v>
      </c>
      <c r="P119">
        <v>24.18</v>
      </c>
      <c r="Q119">
        <v>0.64</v>
      </c>
      <c r="R119">
        <v>26.14</v>
      </c>
      <c r="S119">
        <v>29.47</v>
      </c>
      <c r="T119">
        <v>1.91</v>
      </c>
      <c r="U119">
        <v>24.73</v>
      </c>
      <c r="V119">
        <v>32.229999999999997</v>
      </c>
      <c r="W119">
        <v>1.91</v>
      </c>
      <c r="X119">
        <v>2090</v>
      </c>
      <c r="Y119">
        <v>1871</v>
      </c>
      <c r="Z119">
        <v>1128</v>
      </c>
      <c r="AA119">
        <v>1907</v>
      </c>
      <c r="AB119">
        <v>7182</v>
      </c>
      <c r="AC119">
        <v>537</v>
      </c>
      <c r="AD119">
        <v>5576</v>
      </c>
      <c r="AE119">
        <v>138</v>
      </c>
      <c r="AF119">
        <v>1048</v>
      </c>
      <c r="AG119">
        <v>16.39</v>
      </c>
      <c r="AH119">
        <v>14427</v>
      </c>
      <c r="AI119">
        <v>0.6</v>
      </c>
      <c r="AJ119">
        <v>0.43</v>
      </c>
      <c r="AK119">
        <v>2.8435356021413099E-2</v>
      </c>
      <c r="AL119">
        <v>2.6563390022990898</v>
      </c>
      <c r="AM119">
        <v>30.585220450723899</v>
      </c>
      <c r="AN119">
        <v>1.84</v>
      </c>
      <c r="AO119">
        <v>24.11</v>
      </c>
      <c r="AP119">
        <v>3.41</v>
      </c>
      <c r="AQ119">
        <v>4.6500000000000004</v>
      </c>
    </row>
    <row r="120" spans="1:43" x14ac:dyDescent="0.25">
      <c r="A120">
        <v>5586</v>
      </c>
      <c r="B120">
        <v>12</v>
      </c>
      <c r="C120">
        <v>2508</v>
      </c>
      <c r="D120">
        <v>24</v>
      </c>
      <c r="E120">
        <v>598</v>
      </c>
      <c r="F120">
        <v>12087</v>
      </c>
      <c r="G120">
        <v>2526</v>
      </c>
      <c r="H120">
        <v>1914</v>
      </c>
      <c r="I120">
        <v>20</v>
      </c>
      <c r="J120">
        <v>5.98</v>
      </c>
      <c r="K120">
        <v>0.05</v>
      </c>
      <c r="L120">
        <v>7.79</v>
      </c>
      <c r="M120">
        <v>0.03</v>
      </c>
      <c r="N120">
        <v>0.05</v>
      </c>
      <c r="O120">
        <v>1.24</v>
      </c>
      <c r="P120">
        <v>25.04</v>
      </c>
      <c r="Q120">
        <v>0.04</v>
      </c>
      <c r="R120">
        <v>24.94</v>
      </c>
      <c r="S120">
        <v>29.87</v>
      </c>
      <c r="T120">
        <v>1.87</v>
      </c>
      <c r="U120">
        <v>24.79</v>
      </c>
      <c r="V120">
        <v>33.380000000000003</v>
      </c>
      <c r="W120">
        <v>1.48</v>
      </c>
      <c r="X120">
        <v>2077</v>
      </c>
      <c r="Y120">
        <v>1898</v>
      </c>
      <c r="Z120">
        <v>1168</v>
      </c>
      <c r="AA120">
        <v>1936</v>
      </c>
      <c r="AB120">
        <v>7228</v>
      </c>
      <c r="AC120">
        <v>524</v>
      </c>
      <c r="AD120">
        <v>5524</v>
      </c>
      <c r="AE120">
        <v>34</v>
      </c>
      <c r="AF120">
        <v>858</v>
      </c>
      <c r="AG120">
        <v>16.475000000000001</v>
      </c>
      <c r="AH120">
        <v>14155</v>
      </c>
      <c r="AI120">
        <v>0.61</v>
      </c>
      <c r="AJ120">
        <v>0.43</v>
      </c>
      <c r="AK120">
        <v>6.0889177162968301E-2</v>
      </c>
      <c r="AL120">
        <v>0.37826311772290899</v>
      </c>
      <c r="AM120">
        <v>30.522139675789401</v>
      </c>
      <c r="AN120">
        <v>6.84</v>
      </c>
      <c r="AO120">
        <v>21.18</v>
      </c>
      <c r="AP120">
        <v>1.08</v>
      </c>
      <c r="AQ120">
        <v>1.48</v>
      </c>
    </row>
    <row r="121" spans="1:43" x14ac:dyDescent="0.25">
      <c r="A121">
        <v>10955</v>
      </c>
      <c r="B121">
        <v>4551</v>
      </c>
      <c r="C121">
        <v>910</v>
      </c>
      <c r="D121">
        <v>15</v>
      </c>
      <c r="E121">
        <v>1495</v>
      </c>
      <c r="F121">
        <v>12062</v>
      </c>
      <c r="G121">
        <v>9</v>
      </c>
      <c r="H121">
        <v>7</v>
      </c>
      <c r="I121">
        <v>4444</v>
      </c>
      <c r="J121">
        <v>11.74</v>
      </c>
      <c r="K121">
        <v>20.2</v>
      </c>
      <c r="L121">
        <v>2.83</v>
      </c>
      <c r="M121">
        <v>7.39</v>
      </c>
      <c r="N121">
        <v>0.03</v>
      </c>
      <c r="O121">
        <v>3.1</v>
      </c>
      <c r="P121">
        <v>24.98</v>
      </c>
      <c r="Q121">
        <v>14.14</v>
      </c>
      <c r="R121">
        <v>9.0500000000000007</v>
      </c>
      <c r="S121">
        <v>13.53</v>
      </c>
      <c r="T121">
        <v>9.02</v>
      </c>
      <c r="U121">
        <v>0.13</v>
      </c>
      <c r="V121">
        <v>33.31</v>
      </c>
      <c r="W121">
        <v>43.84</v>
      </c>
      <c r="X121">
        <v>13</v>
      </c>
      <c r="Y121">
        <v>7</v>
      </c>
      <c r="Z121">
        <v>1166</v>
      </c>
      <c r="AA121">
        <v>450</v>
      </c>
      <c r="AB121">
        <v>5427</v>
      </c>
      <c r="AC121">
        <v>1139</v>
      </c>
      <c r="AD121">
        <v>5781</v>
      </c>
      <c r="AE121">
        <v>7470</v>
      </c>
      <c r="AF121">
        <v>10354</v>
      </c>
      <c r="AG121">
        <v>10.537000000000001</v>
      </c>
      <c r="AH121">
        <v>27269</v>
      </c>
      <c r="AI121">
        <v>0.41</v>
      </c>
      <c r="AJ121">
        <v>0.44</v>
      </c>
      <c r="AK121">
        <v>0.90358083905043696</v>
      </c>
      <c r="AL121">
        <v>1.26126769226102</v>
      </c>
      <c r="AM121">
        <v>31.613077170325599</v>
      </c>
      <c r="AN121">
        <v>15.21</v>
      </c>
      <c r="AO121">
        <v>10.52</v>
      </c>
      <c r="AP121">
        <v>0.34</v>
      </c>
      <c r="AQ121">
        <v>0.47</v>
      </c>
    </row>
    <row r="122" spans="1:43" x14ac:dyDescent="0.25">
      <c r="A122">
        <v>10801</v>
      </c>
      <c r="B122">
        <v>4082</v>
      </c>
      <c r="C122">
        <v>1159</v>
      </c>
      <c r="D122">
        <v>114</v>
      </c>
      <c r="E122">
        <v>1436</v>
      </c>
      <c r="F122">
        <v>11529</v>
      </c>
      <c r="G122">
        <v>276</v>
      </c>
      <c r="H122">
        <v>209</v>
      </c>
      <c r="I122">
        <v>3975</v>
      </c>
      <c r="J122">
        <v>11.57</v>
      </c>
      <c r="K122">
        <v>18.12</v>
      </c>
      <c r="L122">
        <v>3.6</v>
      </c>
      <c r="M122">
        <v>6.61</v>
      </c>
      <c r="N122">
        <v>0.24</v>
      </c>
      <c r="O122">
        <v>2.97</v>
      </c>
      <c r="P122">
        <v>23.88</v>
      </c>
      <c r="Q122">
        <v>12.68</v>
      </c>
      <c r="R122">
        <v>11.53</v>
      </c>
      <c r="S122">
        <v>14.79</v>
      </c>
      <c r="T122">
        <v>8.0399999999999991</v>
      </c>
      <c r="U122">
        <v>2.99</v>
      </c>
      <c r="V122">
        <v>31.84</v>
      </c>
      <c r="W122">
        <v>39.54</v>
      </c>
      <c r="X122">
        <v>269</v>
      </c>
      <c r="Y122">
        <v>207</v>
      </c>
      <c r="Z122">
        <v>1114</v>
      </c>
      <c r="AA122">
        <v>594</v>
      </c>
      <c r="AB122">
        <v>5606</v>
      </c>
      <c r="AC122">
        <v>1079</v>
      </c>
      <c r="AD122">
        <v>5780</v>
      </c>
      <c r="AE122">
        <v>6682</v>
      </c>
      <c r="AF122">
        <v>9404</v>
      </c>
      <c r="AG122">
        <v>11.185</v>
      </c>
      <c r="AH122">
        <v>25955</v>
      </c>
      <c r="AI122">
        <v>0.42</v>
      </c>
      <c r="AJ122">
        <v>0.44</v>
      </c>
      <c r="AK122">
        <v>0.79732020185249897</v>
      </c>
      <c r="AL122">
        <v>1.22112732603211</v>
      </c>
      <c r="AM122">
        <v>32.684794112453297</v>
      </c>
      <c r="AN122">
        <v>2.92</v>
      </c>
      <c r="AO122">
        <v>22.13</v>
      </c>
      <c r="AP122">
        <v>0.21</v>
      </c>
      <c r="AQ122">
        <v>0.28000000000000003</v>
      </c>
    </row>
    <row r="123" spans="1:43" x14ac:dyDescent="0.25">
      <c r="A123">
        <v>14088</v>
      </c>
      <c r="B123">
        <v>2503</v>
      </c>
      <c r="C123">
        <v>1743</v>
      </c>
      <c r="D123">
        <v>4</v>
      </c>
      <c r="E123">
        <v>1039</v>
      </c>
      <c r="F123">
        <v>11605</v>
      </c>
      <c r="G123">
        <v>1530</v>
      </c>
      <c r="H123">
        <v>1160</v>
      </c>
      <c r="I123">
        <v>1770</v>
      </c>
      <c r="J123">
        <v>15.09</v>
      </c>
      <c r="K123">
        <v>11.11</v>
      </c>
      <c r="L123">
        <v>5.41</v>
      </c>
      <c r="M123">
        <v>2.94</v>
      </c>
      <c r="N123">
        <v>0.01</v>
      </c>
      <c r="O123">
        <v>2.15</v>
      </c>
      <c r="P123">
        <v>24.04</v>
      </c>
      <c r="Q123">
        <v>7.78</v>
      </c>
      <c r="R123">
        <v>17.329999999999998</v>
      </c>
      <c r="S123">
        <v>17.829999999999998</v>
      </c>
      <c r="T123">
        <v>9.4499999999999993</v>
      </c>
      <c r="U123">
        <v>14.99</v>
      </c>
      <c r="V123">
        <v>32.049999999999997</v>
      </c>
      <c r="W123">
        <v>24.61</v>
      </c>
      <c r="X123">
        <v>1254</v>
      </c>
      <c r="Y123">
        <v>1149</v>
      </c>
      <c r="Z123">
        <v>1121</v>
      </c>
      <c r="AA123">
        <v>744</v>
      </c>
      <c r="AB123">
        <v>6407</v>
      </c>
      <c r="AC123">
        <v>967</v>
      </c>
      <c r="AD123">
        <v>5582</v>
      </c>
      <c r="AE123">
        <v>2975</v>
      </c>
      <c r="AF123">
        <v>5767</v>
      </c>
      <c r="AG123">
        <v>11.848000000000001</v>
      </c>
      <c r="AH123">
        <v>20542</v>
      </c>
      <c r="AI123">
        <v>0.52</v>
      </c>
      <c r="AJ123">
        <v>0.44</v>
      </c>
      <c r="AK123">
        <v>0.34446647465373997</v>
      </c>
      <c r="AL123">
        <v>1.02902460923409</v>
      </c>
      <c r="AM123">
        <v>33.709782766030798</v>
      </c>
      <c r="AN123">
        <v>1.08</v>
      </c>
      <c r="AO123">
        <v>23.74</v>
      </c>
      <c r="AP123">
        <v>10.4</v>
      </c>
      <c r="AQ123">
        <v>14.17</v>
      </c>
    </row>
    <row r="124" spans="1:43" x14ac:dyDescent="0.25">
      <c r="A124">
        <v>8562</v>
      </c>
      <c r="B124">
        <v>4092</v>
      </c>
      <c r="C124">
        <v>1156</v>
      </c>
      <c r="D124">
        <v>354</v>
      </c>
      <c r="E124">
        <v>1158</v>
      </c>
      <c r="F124">
        <v>11568</v>
      </c>
      <c r="G124">
        <v>276</v>
      </c>
      <c r="H124">
        <v>209</v>
      </c>
      <c r="I124">
        <v>3975</v>
      </c>
      <c r="J124">
        <v>9.17</v>
      </c>
      <c r="K124">
        <v>18.16</v>
      </c>
      <c r="L124">
        <v>3.59</v>
      </c>
      <c r="M124">
        <v>6.61</v>
      </c>
      <c r="N124">
        <v>0.73</v>
      </c>
      <c r="O124">
        <v>2.4</v>
      </c>
      <c r="P124">
        <v>23.96</v>
      </c>
      <c r="Q124">
        <v>12.71</v>
      </c>
      <c r="R124">
        <v>11.5</v>
      </c>
      <c r="S124">
        <v>15.18</v>
      </c>
      <c r="T124">
        <v>6.09</v>
      </c>
      <c r="U124">
        <v>3.62</v>
      </c>
      <c r="V124">
        <v>31.95</v>
      </c>
      <c r="W124">
        <v>38.99</v>
      </c>
      <c r="X124">
        <v>359</v>
      </c>
      <c r="Y124">
        <v>207</v>
      </c>
      <c r="Z124">
        <v>1118</v>
      </c>
      <c r="AA124">
        <v>726</v>
      </c>
      <c r="AB124">
        <v>5784</v>
      </c>
      <c r="AC124">
        <v>1035</v>
      </c>
      <c r="AD124">
        <v>5778</v>
      </c>
      <c r="AE124">
        <v>6682</v>
      </c>
      <c r="AF124">
        <v>9073</v>
      </c>
      <c r="AG124">
        <v>12.044</v>
      </c>
      <c r="AH124">
        <v>25756</v>
      </c>
      <c r="AI124">
        <v>0.39</v>
      </c>
      <c r="AJ124">
        <v>0.44</v>
      </c>
      <c r="AK124">
        <v>0.48108873795059898</v>
      </c>
      <c r="AL124">
        <v>1.63944078990544</v>
      </c>
      <c r="AM124">
        <v>32.666335788169299</v>
      </c>
      <c r="AN124">
        <v>0.55000000000000004</v>
      </c>
      <c r="AO124">
        <v>24.39</v>
      </c>
      <c r="AP124">
        <v>0.28999999999999998</v>
      </c>
      <c r="AQ124">
        <v>0.39</v>
      </c>
    </row>
    <row r="125" spans="1:43" x14ac:dyDescent="0.25">
      <c r="A125">
        <v>12954</v>
      </c>
      <c r="B125">
        <v>2503</v>
      </c>
      <c r="C125">
        <v>1743</v>
      </c>
      <c r="D125">
        <v>17</v>
      </c>
      <c r="E125">
        <v>1025</v>
      </c>
      <c r="F125">
        <v>11605</v>
      </c>
      <c r="G125">
        <v>1530</v>
      </c>
      <c r="H125">
        <v>1160</v>
      </c>
      <c r="I125">
        <v>1770</v>
      </c>
      <c r="J125">
        <v>13.88</v>
      </c>
      <c r="K125">
        <v>11.11</v>
      </c>
      <c r="L125">
        <v>5.41</v>
      </c>
      <c r="M125">
        <v>2.94</v>
      </c>
      <c r="N125">
        <v>0.04</v>
      </c>
      <c r="O125">
        <v>2.12</v>
      </c>
      <c r="P125">
        <v>24.04</v>
      </c>
      <c r="Q125">
        <v>7.78</v>
      </c>
      <c r="R125">
        <v>17.329999999999998</v>
      </c>
      <c r="S125">
        <v>18.03</v>
      </c>
      <c r="T125">
        <v>8.43</v>
      </c>
      <c r="U125">
        <v>15.02</v>
      </c>
      <c r="V125">
        <v>32.049999999999997</v>
      </c>
      <c r="W125">
        <v>24.58</v>
      </c>
      <c r="X125">
        <v>1259</v>
      </c>
      <c r="Y125">
        <v>1149</v>
      </c>
      <c r="Z125">
        <v>1121</v>
      </c>
      <c r="AA125">
        <v>813</v>
      </c>
      <c r="AB125">
        <v>6478</v>
      </c>
      <c r="AC125">
        <v>944</v>
      </c>
      <c r="AD125">
        <v>5583</v>
      </c>
      <c r="AE125">
        <v>2975</v>
      </c>
      <c r="AF125">
        <v>5596</v>
      </c>
      <c r="AG125">
        <v>12.27</v>
      </c>
      <c r="AH125">
        <v>20420</v>
      </c>
      <c r="AI125">
        <v>0.5</v>
      </c>
      <c r="AJ125">
        <v>0.44</v>
      </c>
      <c r="AK125">
        <v>0.32917327839600202</v>
      </c>
      <c r="AL125">
        <v>1.0245720094297901</v>
      </c>
      <c r="AM125">
        <v>31.198647364320902</v>
      </c>
      <c r="AN125">
        <v>0.57999999999999996</v>
      </c>
      <c r="AO125">
        <v>26.14</v>
      </c>
      <c r="AP125">
        <v>7.75</v>
      </c>
      <c r="AQ125">
        <v>10.57</v>
      </c>
    </row>
    <row r="126" spans="1:43" x14ac:dyDescent="0.25">
      <c r="A126">
        <v>5999</v>
      </c>
      <c r="B126">
        <v>4555</v>
      </c>
      <c r="C126">
        <v>1263</v>
      </c>
      <c r="D126">
        <v>127</v>
      </c>
      <c r="E126">
        <v>445</v>
      </c>
      <c r="F126">
        <v>11297</v>
      </c>
      <c r="G126">
        <v>2</v>
      </c>
      <c r="H126">
        <v>2</v>
      </c>
      <c r="I126">
        <v>4456</v>
      </c>
      <c r="J126">
        <v>6.43</v>
      </c>
      <c r="K126">
        <v>20.22</v>
      </c>
      <c r="L126">
        <v>3.93</v>
      </c>
      <c r="M126">
        <v>7.41</v>
      </c>
      <c r="N126">
        <v>0.26</v>
      </c>
      <c r="O126">
        <v>0.92</v>
      </c>
      <c r="P126">
        <v>23.4</v>
      </c>
      <c r="Q126">
        <v>14.15</v>
      </c>
      <c r="R126">
        <v>12.56</v>
      </c>
      <c r="S126">
        <v>15.33</v>
      </c>
      <c r="T126">
        <v>4.42</v>
      </c>
      <c r="U126">
        <v>0.35</v>
      </c>
      <c r="V126">
        <v>31.2</v>
      </c>
      <c r="W126">
        <v>41.46</v>
      </c>
      <c r="X126">
        <v>49</v>
      </c>
      <c r="Y126">
        <v>2</v>
      </c>
      <c r="Z126">
        <v>1092</v>
      </c>
      <c r="AA126">
        <v>817</v>
      </c>
      <c r="AB126">
        <v>5547</v>
      </c>
      <c r="AC126">
        <v>1021</v>
      </c>
      <c r="AD126">
        <v>5899</v>
      </c>
      <c r="AE126">
        <v>7491</v>
      </c>
      <c r="AF126">
        <v>9674</v>
      </c>
      <c r="AG126">
        <v>12.321</v>
      </c>
      <c r="AH126">
        <v>26722</v>
      </c>
      <c r="AI126">
        <v>0.36</v>
      </c>
      <c r="AJ126">
        <v>0.44</v>
      </c>
      <c r="AK126">
        <v>4.5633182989097999E-3</v>
      </c>
      <c r="AL126">
        <v>2.4603656737585502</v>
      </c>
      <c r="AM126">
        <v>32.0134796785864</v>
      </c>
      <c r="AN126">
        <v>0.12</v>
      </c>
      <c r="AO126">
        <v>24.95</v>
      </c>
      <c r="AP126">
        <v>2.14</v>
      </c>
      <c r="AQ126">
        <v>2.92</v>
      </c>
    </row>
    <row r="127" spans="1:43" x14ac:dyDescent="0.25">
      <c r="A127">
        <v>12720</v>
      </c>
      <c r="B127">
        <v>2366</v>
      </c>
      <c r="C127">
        <v>1948</v>
      </c>
      <c r="D127">
        <v>87</v>
      </c>
      <c r="E127">
        <v>473</v>
      </c>
      <c r="F127">
        <v>11308</v>
      </c>
      <c r="G127">
        <v>1772</v>
      </c>
      <c r="H127">
        <v>1343</v>
      </c>
      <c r="I127">
        <v>1345</v>
      </c>
      <c r="J127">
        <v>13.63</v>
      </c>
      <c r="K127">
        <v>10.5</v>
      </c>
      <c r="L127">
        <v>6.05</v>
      </c>
      <c r="M127">
        <v>2.2400000000000002</v>
      </c>
      <c r="N127">
        <v>0.18</v>
      </c>
      <c r="O127">
        <v>0.98</v>
      </c>
      <c r="P127">
        <v>23.42</v>
      </c>
      <c r="Q127">
        <v>7.35</v>
      </c>
      <c r="R127">
        <v>19.37</v>
      </c>
      <c r="S127">
        <v>18.48</v>
      </c>
      <c r="T127">
        <v>8.09</v>
      </c>
      <c r="U127">
        <v>17.579999999999998</v>
      </c>
      <c r="V127">
        <v>31.23</v>
      </c>
      <c r="W127">
        <v>22.09</v>
      </c>
      <c r="X127">
        <v>1484</v>
      </c>
      <c r="Y127">
        <v>1331</v>
      </c>
      <c r="Z127">
        <v>1093</v>
      </c>
      <c r="AA127">
        <v>866</v>
      </c>
      <c r="AB127">
        <v>6694</v>
      </c>
      <c r="AC127">
        <v>916</v>
      </c>
      <c r="AD127">
        <v>5576</v>
      </c>
      <c r="AE127">
        <v>2261</v>
      </c>
      <c r="AF127">
        <v>4831</v>
      </c>
      <c r="AG127">
        <v>12.704000000000001</v>
      </c>
      <c r="AH127">
        <v>19400</v>
      </c>
      <c r="AI127">
        <v>0.51</v>
      </c>
      <c r="AJ127">
        <v>0.44</v>
      </c>
      <c r="AK127">
        <v>5.81892714221737E-2</v>
      </c>
      <c r="AL127">
        <v>2.4726515943207898</v>
      </c>
      <c r="AM127">
        <v>31.888804159227298</v>
      </c>
      <c r="AN127">
        <v>9.68</v>
      </c>
      <c r="AO127">
        <v>15.43</v>
      </c>
      <c r="AP127">
        <v>1.1499999999999999</v>
      </c>
      <c r="AQ127">
        <v>1.57</v>
      </c>
    </row>
    <row r="128" spans="1:43" x14ac:dyDescent="0.25">
      <c r="A128">
        <v>10297</v>
      </c>
      <c r="B128">
        <v>1525</v>
      </c>
      <c r="C128">
        <v>2009</v>
      </c>
      <c r="D128">
        <v>2</v>
      </c>
      <c r="E128">
        <v>1526</v>
      </c>
      <c r="F128">
        <v>11309</v>
      </c>
      <c r="G128">
        <v>1795</v>
      </c>
      <c r="H128">
        <v>1361</v>
      </c>
      <c r="I128">
        <v>1304</v>
      </c>
      <c r="J128">
        <v>11.03</v>
      </c>
      <c r="K128">
        <v>6.77</v>
      </c>
      <c r="L128">
        <v>6.24</v>
      </c>
      <c r="M128">
        <v>2.17</v>
      </c>
      <c r="N128">
        <v>0</v>
      </c>
      <c r="O128">
        <v>3.16</v>
      </c>
      <c r="P128">
        <v>23.42</v>
      </c>
      <c r="Q128">
        <v>4.74</v>
      </c>
      <c r="R128">
        <v>19.97</v>
      </c>
      <c r="S128">
        <v>22.39</v>
      </c>
      <c r="T128">
        <v>5.56</v>
      </c>
      <c r="U128">
        <v>17.579999999999998</v>
      </c>
      <c r="V128">
        <v>31.23</v>
      </c>
      <c r="W128">
        <v>17.05</v>
      </c>
      <c r="X128">
        <v>1471</v>
      </c>
      <c r="Y128">
        <v>1349</v>
      </c>
      <c r="Z128">
        <v>1093</v>
      </c>
      <c r="AA128">
        <v>1253</v>
      </c>
      <c r="AB128">
        <v>6654</v>
      </c>
      <c r="AC128">
        <v>785</v>
      </c>
      <c r="AD128">
        <v>5588</v>
      </c>
      <c r="AE128">
        <v>2192</v>
      </c>
      <c r="AF128">
        <v>4110</v>
      </c>
      <c r="AG128">
        <v>13.903</v>
      </c>
      <c r="AH128">
        <v>18477</v>
      </c>
      <c r="AI128">
        <v>0.53</v>
      </c>
      <c r="AJ128">
        <v>0.44</v>
      </c>
      <c r="AK128">
        <v>1.09181029691208</v>
      </c>
      <c r="AL128">
        <v>0.45434193307083798</v>
      </c>
      <c r="AM128">
        <v>33.186417912019699</v>
      </c>
      <c r="AN128">
        <v>15.39</v>
      </c>
      <c r="AO128">
        <v>9.74</v>
      </c>
      <c r="AP128">
        <v>3.85</v>
      </c>
      <c r="AQ128">
        <v>5.25</v>
      </c>
    </row>
    <row r="129" spans="1:43" x14ac:dyDescent="0.25">
      <c r="A129">
        <v>10917</v>
      </c>
      <c r="B129">
        <v>952</v>
      </c>
      <c r="C129">
        <v>2225</v>
      </c>
      <c r="D129">
        <v>31</v>
      </c>
      <c r="E129">
        <v>891</v>
      </c>
      <c r="F129">
        <v>11736</v>
      </c>
      <c r="G129">
        <v>2406</v>
      </c>
      <c r="H129">
        <v>1824</v>
      </c>
      <c r="I129">
        <v>230</v>
      </c>
      <c r="J129">
        <v>11.7</v>
      </c>
      <c r="K129">
        <v>4.2300000000000004</v>
      </c>
      <c r="L129">
        <v>6.91</v>
      </c>
      <c r="M129">
        <v>0.38</v>
      </c>
      <c r="N129">
        <v>0.06</v>
      </c>
      <c r="O129">
        <v>1.85</v>
      </c>
      <c r="P129">
        <v>24.31</v>
      </c>
      <c r="Q129">
        <v>2.96</v>
      </c>
      <c r="R129">
        <v>22.12</v>
      </c>
      <c r="S129">
        <v>23.47</v>
      </c>
      <c r="T129">
        <v>5.88</v>
      </c>
      <c r="U129">
        <v>23.64</v>
      </c>
      <c r="V129">
        <v>32.409999999999997</v>
      </c>
      <c r="W129">
        <v>10.5</v>
      </c>
      <c r="X129">
        <v>1982</v>
      </c>
      <c r="Y129">
        <v>1808</v>
      </c>
      <c r="Z129">
        <v>1134</v>
      </c>
      <c r="AA129">
        <v>1318</v>
      </c>
      <c r="AB129">
        <v>7166</v>
      </c>
      <c r="AC129">
        <v>733</v>
      </c>
      <c r="AD129">
        <v>5470</v>
      </c>
      <c r="AE129">
        <v>387</v>
      </c>
      <c r="AF129">
        <v>2264</v>
      </c>
      <c r="AG129">
        <v>14.419</v>
      </c>
      <c r="AH129">
        <v>15869</v>
      </c>
      <c r="AI129">
        <v>0.56999999999999995</v>
      </c>
      <c r="AJ129">
        <v>0.44</v>
      </c>
      <c r="AK129">
        <v>1.2289640258871299</v>
      </c>
      <c r="AL129">
        <v>2.5867618617059001</v>
      </c>
      <c r="AM129">
        <v>30.592097830923102</v>
      </c>
      <c r="AN129">
        <v>9.39</v>
      </c>
      <c r="AO129">
        <v>15.66</v>
      </c>
      <c r="AP129">
        <v>0.57999999999999996</v>
      </c>
      <c r="AQ129">
        <v>0.79</v>
      </c>
    </row>
    <row r="130" spans="1:43" x14ac:dyDescent="0.25">
      <c r="A130">
        <v>6895</v>
      </c>
      <c r="B130">
        <v>965</v>
      </c>
      <c r="C130">
        <v>2543</v>
      </c>
      <c r="D130">
        <v>6</v>
      </c>
      <c r="E130">
        <v>1197</v>
      </c>
      <c r="F130">
        <v>9912</v>
      </c>
      <c r="G130">
        <v>2045</v>
      </c>
      <c r="H130">
        <v>1550</v>
      </c>
      <c r="I130">
        <v>865</v>
      </c>
      <c r="J130">
        <v>7.39</v>
      </c>
      <c r="K130">
        <v>4.28</v>
      </c>
      <c r="L130">
        <v>7.9</v>
      </c>
      <c r="M130">
        <v>1.44</v>
      </c>
      <c r="N130">
        <v>0.01</v>
      </c>
      <c r="O130">
        <v>2.48</v>
      </c>
      <c r="P130">
        <v>20.53</v>
      </c>
      <c r="Q130">
        <v>3</v>
      </c>
      <c r="R130">
        <v>25.28</v>
      </c>
      <c r="S130">
        <v>26.66</v>
      </c>
      <c r="T130">
        <v>2.77</v>
      </c>
      <c r="U130">
        <v>20.04</v>
      </c>
      <c r="V130">
        <v>27.37</v>
      </c>
      <c r="W130">
        <v>11.32</v>
      </c>
      <c r="X130">
        <v>1677</v>
      </c>
      <c r="Y130">
        <v>1536</v>
      </c>
      <c r="Z130">
        <v>958</v>
      </c>
      <c r="AA130">
        <v>1677</v>
      </c>
      <c r="AB130">
        <v>6843</v>
      </c>
      <c r="AC130">
        <v>637</v>
      </c>
      <c r="AD130">
        <v>5687</v>
      </c>
      <c r="AE130">
        <v>1454</v>
      </c>
      <c r="AF130">
        <v>2711</v>
      </c>
      <c r="AG130">
        <v>15.813000000000001</v>
      </c>
      <c r="AH130">
        <v>16767</v>
      </c>
      <c r="AI130">
        <v>0.55000000000000004</v>
      </c>
      <c r="AJ130">
        <v>0.44</v>
      </c>
      <c r="AK130">
        <v>3.3343976909310499E-2</v>
      </c>
      <c r="AL130">
        <v>2.81345511907318</v>
      </c>
      <c r="AM130">
        <v>27.019092939321801</v>
      </c>
      <c r="AN130">
        <v>16.22</v>
      </c>
      <c r="AO130">
        <v>12.25</v>
      </c>
      <c r="AP130">
        <v>0.12</v>
      </c>
      <c r="AQ130">
        <v>0.16</v>
      </c>
    </row>
    <row r="131" spans="1:43" x14ac:dyDescent="0.25">
      <c r="A131">
        <v>6262</v>
      </c>
      <c r="B131">
        <v>526</v>
      </c>
      <c r="C131">
        <v>2522</v>
      </c>
      <c r="D131">
        <v>60</v>
      </c>
      <c r="E131">
        <v>608</v>
      </c>
      <c r="F131">
        <v>11203</v>
      </c>
      <c r="G131">
        <v>2331</v>
      </c>
      <c r="H131">
        <v>1767</v>
      </c>
      <c r="I131">
        <v>362</v>
      </c>
      <c r="J131">
        <v>6.71</v>
      </c>
      <c r="K131">
        <v>2.33</v>
      </c>
      <c r="L131">
        <v>7.84</v>
      </c>
      <c r="M131">
        <v>0.6</v>
      </c>
      <c r="N131">
        <v>0.12</v>
      </c>
      <c r="O131">
        <v>1.26</v>
      </c>
      <c r="P131">
        <v>23.21</v>
      </c>
      <c r="Q131">
        <v>1.63</v>
      </c>
      <c r="R131">
        <v>25.08</v>
      </c>
      <c r="S131">
        <v>27.93</v>
      </c>
      <c r="T131">
        <v>2.3199999999999998</v>
      </c>
      <c r="U131">
        <v>22.98</v>
      </c>
      <c r="V131">
        <v>30.94</v>
      </c>
      <c r="W131">
        <v>6.07</v>
      </c>
      <c r="X131">
        <v>1932</v>
      </c>
      <c r="Y131">
        <v>1751</v>
      </c>
      <c r="Z131">
        <v>1083</v>
      </c>
      <c r="AA131">
        <v>1787</v>
      </c>
      <c r="AB131">
        <v>7096</v>
      </c>
      <c r="AC131">
        <v>584</v>
      </c>
      <c r="AD131">
        <v>5590</v>
      </c>
      <c r="AE131">
        <v>609</v>
      </c>
      <c r="AF131">
        <v>1676</v>
      </c>
      <c r="AG131">
        <v>16.11</v>
      </c>
      <c r="AH131">
        <v>15318</v>
      </c>
      <c r="AI131">
        <v>0.56999999999999995</v>
      </c>
      <c r="AJ131">
        <v>0.44</v>
      </c>
      <c r="AK131">
        <v>8.0927525886024296E-2</v>
      </c>
      <c r="AL131">
        <v>2.0798633722461402</v>
      </c>
      <c r="AM131">
        <v>32.374170475508002</v>
      </c>
      <c r="AN131">
        <v>0.51</v>
      </c>
      <c r="AO131">
        <v>24.57</v>
      </c>
      <c r="AP131">
        <v>9.85</v>
      </c>
      <c r="AQ131">
        <v>13.43</v>
      </c>
    </row>
    <row r="132" spans="1:43" x14ac:dyDescent="0.25">
      <c r="A132">
        <v>6106</v>
      </c>
      <c r="B132">
        <v>731</v>
      </c>
      <c r="C132">
        <v>2540</v>
      </c>
      <c r="D132">
        <v>20</v>
      </c>
      <c r="E132">
        <v>7</v>
      </c>
      <c r="F132">
        <v>11451</v>
      </c>
      <c r="G132">
        <v>2476</v>
      </c>
      <c r="H132">
        <v>1877</v>
      </c>
      <c r="I132">
        <v>107</v>
      </c>
      <c r="J132">
        <v>6.54</v>
      </c>
      <c r="K132">
        <v>3.25</v>
      </c>
      <c r="L132">
        <v>7.89</v>
      </c>
      <c r="M132">
        <v>0.18</v>
      </c>
      <c r="N132">
        <v>0.04</v>
      </c>
      <c r="O132">
        <v>0.01</v>
      </c>
      <c r="P132">
        <v>23.72</v>
      </c>
      <c r="Q132">
        <v>2.27</v>
      </c>
      <c r="R132">
        <v>25.25</v>
      </c>
      <c r="S132">
        <v>26.78</v>
      </c>
      <c r="T132">
        <v>2.27</v>
      </c>
      <c r="U132">
        <v>24.3</v>
      </c>
      <c r="V132">
        <v>31.63</v>
      </c>
      <c r="W132">
        <v>6.51</v>
      </c>
      <c r="X132">
        <v>2036</v>
      </c>
      <c r="Y132">
        <v>1860</v>
      </c>
      <c r="Z132">
        <v>1107</v>
      </c>
      <c r="AA132">
        <v>1719</v>
      </c>
      <c r="AB132">
        <v>7303</v>
      </c>
      <c r="AC132">
        <v>600</v>
      </c>
      <c r="AD132">
        <v>5553</v>
      </c>
      <c r="AE132">
        <v>180</v>
      </c>
      <c r="AF132">
        <v>1315</v>
      </c>
      <c r="AG132">
        <v>16.161999999999999</v>
      </c>
      <c r="AH132">
        <v>14881</v>
      </c>
      <c r="AI132">
        <v>0.56000000000000005</v>
      </c>
      <c r="AJ132">
        <v>0.44</v>
      </c>
      <c r="AK132">
        <v>0.34205521472428502</v>
      </c>
      <c r="AL132">
        <v>1.79893506076989</v>
      </c>
      <c r="AM132">
        <v>33.733305263353898</v>
      </c>
      <c r="AN132">
        <v>1.33</v>
      </c>
      <c r="AO132">
        <v>22.78</v>
      </c>
      <c r="AP132">
        <v>3.37</v>
      </c>
      <c r="AQ132">
        <v>4.59</v>
      </c>
    </row>
    <row r="133" spans="1:43" x14ac:dyDescent="0.25">
      <c r="A133">
        <v>5871</v>
      </c>
      <c r="B133">
        <v>348</v>
      </c>
      <c r="C133">
        <v>2387</v>
      </c>
      <c r="D133">
        <v>133</v>
      </c>
      <c r="E133">
        <v>447</v>
      </c>
      <c r="F133">
        <v>12206</v>
      </c>
      <c r="G133">
        <v>2509</v>
      </c>
      <c r="H133">
        <v>1902</v>
      </c>
      <c r="I133">
        <v>49</v>
      </c>
      <c r="J133">
        <v>6.29</v>
      </c>
      <c r="K133">
        <v>1.54</v>
      </c>
      <c r="L133">
        <v>7.42</v>
      </c>
      <c r="M133">
        <v>0.08</v>
      </c>
      <c r="N133">
        <v>0.28000000000000003</v>
      </c>
      <c r="O133">
        <v>0.93</v>
      </c>
      <c r="P133">
        <v>25.28</v>
      </c>
      <c r="Q133">
        <v>1.08</v>
      </c>
      <c r="R133">
        <v>23.74</v>
      </c>
      <c r="S133">
        <v>27.97</v>
      </c>
      <c r="T133">
        <v>2.09</v>
      </c>
      <c r="U133">
        <v>24.91</v>
      </c>
      <c r="V133">
        <v>33.71</v>
      </c>
      <c r="W133">
        <v>4.12</v>
      </c>
      <c r="X133">
        <v>2105</v>
      </c>
      <c r="Y133">
        <v>1885</v>
      </c>
      <c r="Z133">
        <v>1180</v>
      </c>
      <c r="AA133">
        <v>1805</v>
      </c>
      <c r="AB133">
        <v>7350</v>
      </c>
      <c r="AC133">
        <v>567</v>
      </c>
      <c r="AD133">
        <v>5490</v>
      </c>
      <c r="AE133">
        <v>82</v>
      </c>
      <c r="AF133">
        <v>1047</v>
      </c>
      <c r="AG133">
        <v>16.311</v>
      </c>
      <c r="AH133">
        <v>14504</v>
      </c>
      <c r="AI133">
        <v>0.57999999999999996</v>
      </c>
      <c r="AJ133">
        <v>0.44</v>
      </c>
      <c r="AK133">
        <v>0.35755534190892202</v>
      </c>
      <c r="AL133">
        <v>2.44807169379034</v>
      </c>
      <c r="AM133">
        <v>31.682803492582799</v>
      </c>
      <c r="AN133">
        <v>0.09</v>
      </c>
      <c r="AO133">
        <v>24.96</v>
      </c>
      <c r="AP133">
        <v>7.32</v>
      </c>
      <c r="AQ133">
        <v>9.98</v>
      </c>
    </row>
    <row r="134" spans="1:43" x14ac:dyDescent="0.25">
      <c r="A134">
        <v>6266</v>
      </c>
      <c r="B134">
        <v>151</v>
      </c>
      <c r="C134">
        <v>2441</v>
      </c>
      <c r="D134">
        <v>32</v>
      </c>
      <c r="E134">
        <v>1032</v>
      </c>
      <c r="F134">
        <v>11761</v>
      </c>
      <c r="G134">
        <v>2524</v>
      </c>
      <c r="H134">
        <v>1913</v>
      </c>
      <c r="I134">
        <v>23</v>
      </c>
      <c r="J134">
        <v>6.71</v>
      </c>
      <c r="K134">
        <v>0.67</v>
      </c>
      <c r="L134">
        <v>7.58</v>
      </c>
      <c r="M134">
        <v>0.04</v>
      </c>
      <c r="N134">
        <v>7.0000000000000007E-2</v>
      </c>
      <c r="O134">
        <v>2.14</v>
      </c>
      <c r="P134">
        <v>24.36</v>
      </c>
      <c r="Q134">
        <v>0.47</v>
      </c>
      <c r="R134">
        <v>24.27</v>
      </c>
      <c r="S134">
        <v>28.75</v>
      </c>
      <c r="T134">
        <v>2.29</v>
      </c>
      <c r="U134">
        <v>24.79</v>
      </c>
      <c r="V134">
        <v>32.479999999999997</v>
      </c>
      <c r="W134">
        <v>3.71</v>
      </c>
      <c r="X134">
        <v>2078</v>
      </c>
      <c r="Y134">
        <v>1896</v>
      </c>
      <c r="Z134">
        <v>1137</v>
      </c>
      <c r="AA134">
        <v>1844</v>
      </c>
      <c r="AB134">
        <v>7296</v>
      </c>
      <c r="AC134">
        <v>554</v>
      </c>
      <c r="AD134">
        <v>5504</v>
      </c>
      <c r="AE134">
        <v>39</v>
      </c>
      <c r="AF134">
        <v>982</v>
      </c>
      <c r="AG134">
        <v>16.395</v>
      </c>
      <c r="AH134">
        <v>14360</v>
      </c>
      <c r="AI134">
        <v>0.6</v>
      </c>
      <c r="AJ134">
        <v>0.44</v>
      </c>
      <c r="AK134">
        <v>6.96292729068045E-3</v>
      </c>
      <c r="AL134">
        <v>2.2332623166256602</v>
      </c>
      <c r="AM134">
        <v>33.173904091401397</v>
      </c>
      <c r="AN134">
        <v>10.26</v>
      </c>
      <c r="AO134">
        <v>14.14</v>
      </c>
      <c r="AP134">
        <v>7.97</v>
      </c>
      <c r="AQ134">
        <v>10.86</v>
      </c>
    </row>
    <row r="135" spans="1:43" x14ac:dyDescent="0.25">
      <c r="A135">
        <v>6051</v>
      </c>
      <c r="B135">
        <v>42</v>
      </c>
      <c r="C135">
        <v>2501</v>
      </c>
      <c r="D135">
        <v>230</v>
      </c>
      <c r="E135">
        <v>1211</v>
      </c>
      <c r="F135">
        <v>11260</v>
      </c>
      <c r="G135">
        <v>2525</v>
      </c>
      <c r="H135">
        <v>1914</v>
      </c>
      <c r="I135">
        <v>21</v>
      </c>
      <c r="J135">
        <v>6.48</v>
      </c>
      <c r="K135">
        <v>0.19</v>
      </c>
      <c r="L135">
        <v>7.77</v>
      </c>
      <c r="M135">
        <v>0.03</v>
      </c>
      <c r="N135">
        <v>0.48</v>
      </c>
      <c r="O135">
        <v>2.5099999999999998</v>
      </c>
      <c r="P135">
        <v>23.32</v>
      </c>
      <c r="Q135">
        <v>0.13</v>
      </c>
      <c r="R135">
        <v>24.86</v>
      </c>
      <c r="S135">
        <v>29.49</v>
      </c>
      <c r="T135">
        <v>2.14</v>
      </c>
      <c r="U135">
        <v>25.31</v>
      </c>
      <c r="V135">
        <v>31.1</v>
      </c>
      <c r="W135">
        <v>3.16</v>
      </c>
      <c r="X135">
        <v>2154</v>
      </c>
      <c r="Y135">
        <v>1896</v>
      </c>
      <c r="Z135">
        <v>1088</v>
      </c>
      <c r="AA135">
        <v>1898</v>
      </c>
      <c r="AB135">
        <v>7330</v>
      </c>
      <c r="AC135">
        <v>536</v>
      </c>
      <c r="AD135">
        <v>5523</v>
      </c>
      <c r="AE135">
        <v>35</v>
      </c>
      <c r="AF135">
        <v>895</v>
      </c>
      <c r="AG135">
        <v>16.728999999999999</v>
      </c>
      <c r="AH135">
        <v>14306</v>
      </c>
      <c r="AI135">
        <v>0.61</v>
      </c>
      <c r="AJ135">
        <v>0.44</v>
      </c>
      <c r="AK135">
        <v>8.4094525832486597E-2</v>
      </c>
      <c r="AL135">
        <v>2.4117786602192499</v>
      </c>
      <c r="AM135">
        <v>33.1751719395048</v>
      </c>
      <c r="AN135">
        <v>0.39</v>
      </c>
      <c r="AO135">
        <v>23.79</v>
      </c>
      <c r="AP135">
        <v>0.98</v>
      </c>
      <c r="AQ135">
        <v>1.33</v>
      </c>
    </row>
    <row r="136" spans="1:43" x14ac:dyDescent="0.25">
      <c r="A136">
        <v>5586</v>
      </c>
      <c r="B136">
        <v>22</v>
      </c>
      <c r="C136">
        <v>2494</v>
      </c>
      <c r="D136">
        <v>10</v>
      </c>
      <c r="E136">
        <v>1438</v>
      </c>
      <c r="F136">
        <v>11315</v>
      </c>
      <c r="G136">
        <v>2526</v>
      </c>
      <c r="H136">
        <v>1914</v>
      </c>
      <c r="I136">
        <v>20</v>
      </c>
      <c r="J136">
        <v>5.98</v>
      </c>
      <c r="K136">
        <v>0.1</v>
      </c>
      <c r="L136">
        <v>7.75</v>
      </c>
      <c r="M136">
        <v>0.03</v>
      </c>
      <c r="N136">
        <v>0.02</v>
      </c>
      <c r="O136">
        <v>2.98</v>
      </c>
      <c r="P136">
        <v>23.44</v>
      </c>
      <c r="Q136">
        <v>7.0000000000000007E-2</v>
      </c>
      <c r="R136">
        <v>24.79</v>
      </c>
      <c r="S136">
        <v>29.79</v>
      </c>
      <c r="T136">
        <v>1.87</v>
      </c>
      <c r="U136">
        <v>24.76</v>
      </c>
      <c r="V136">
        <v>31.25</v>
      </c>
      <c r="W136">
        <v>3.51</v>
      </c>
      <c r="X136">
        <v>2072</v>
      </c>
      <c r="Y136">
        <v>1898</v>
      </c>
      <c r="Z136">
        <v>1093</v>
      </c>
      <c r="AA136">
        <v>1930</v>
      </c>
      <c r="AB136">
        <v>7317</v>
      </c>
      <c r="AC136">
        <v>525</v>
      </c>
      <c r="AD136">
        <v>5521</v>
      </c>
      <c r="AE136">
        <v>34</v>
      </c>
      <c r="AF136">
        <v>817</v>
      </c>
      <c r="AG136">
        <v>16.847000000000001</v>
      </c>
      <c r="AH136">
        <v>14201</v>
      </c>
      <c r="AI136">
        <v>0.61</v>
      </c>
      <c r="AJ136">
        <v>0.44</v>
      </c>
      <c r="AK136" s="20">
        <v>5.89313516423936E-4</v>
      </c>
      <c r="AL136">
        <v>3.4848842226246202</v>
      </c>
      <c r="AM136">
        <v>32.723132658854297</v>
      </c>
      <c r="AN136">
        <v>12.23</v>
      </c>
      <c r="AO136">
        <v>11.39</v>
      </c>
      <c r="AP136">
        <v>2.23</v>
      </c>
      <c r="AQ136">
        <v>3.04</v>
      </c>
    </row>
    <row r="137" spans="1:43" x14ac:dyDescent="0.25">
      <c r="A137">
        <v>14529</v>
      </c>
      <c r="B137">
        <v>5020</v>
      </c>
      <c r="C137">
        <v>999</v>
      </c>
      <c r="D137">
        <v>1</v>
      </c>
      <c r="E137">
        <v>292</v>
      </c>
      <c r="F137">
        <v>12149</v>
      </c>
      <c r="G137">
        <v>248</v>
      </c>
      <c r="H137">
        <v>188</v>
      </c>
      <c r="I137">
        <v>4024</v>
      </c>
      <c r="J137">
        <v>15.56</v>
      </c>
      <c r="K137">
        <v>22.28</v>
      </c>
      <c r="L137">
        <v>3.1</v>
      </c>
      <c r="M137">
        <v>6.69</v>
      </c>
      <c r="N137">
        <v>0</v>
      </c>
      <c r="O137">
        <v>0.6</v>
      </c>
      <c r="P137">
        <v>25.16</v>
      </c>
      <c r="Q137">
        <v>15.6</v>
      </c>
      <c r="R137">
        <v>9.93</v>
      </c>
      <c r="S137">
        <v>11.45</v>
      </c>
      <c r="T137">
        <v>13.28</v>
      </c>
      <c r="U137">
        <v>2.4300000000000002</v>
      </c>
      <c r="V137">
        <v>33.549999999999997</v>
      </c>
      <c r="W137">
        <v>45.23</v>
      </c>
      <c r="X137">
        <v>203</v>
      </c>
      <c r="Y137">
        <v>187</v>
      </c>
      <c r="Z137">
        <v>1174</v>
      </c>
      <c r="AA137">
        <v>82</v>
      </c>
      <c r="AB137">
        <v>5558</v>
      </c>
      <c r="AC137">
        <v>1249</v>
      </c>
      <c r="AD137">
        <v>5734</v>
      </c>
      <c r="AE137">
        <v>6764</v>
      </c>
      <c r="AF137">
        <v>10379</v>
      </c>
      <c r="AG137">
        <v>9.2409999999999997</v>
      </c>
      <c r="AH137">
        <v>27056</v>
      </c>
      <c r="AI137">
        <v>0.46</v>
      </c>
      <c r="AJ137">
        <v>0.45</v>
      </c>
      <c r="AK137">
        <v>8.1972276126464294E-2</v>
      </c>
      <c r="AL137">
        <v>2.32235598492993</v>
      </c>
      <c r="AM137">
        <v>33.806307890906197</v>
      </c>
      <c r="AN137">
        <v>2.21</v>
      </c>
      <c r="AO137">
        <v>21.58</v>
      </c>
      <c r="AP137">
        <v>1.83</v>
      </c>
      <c r="AQ137">
        <v>2.5</v>
      </c>
    </row>
    <row r="138" spans="1:43" x14ac:dyDescent="0.25">
      <c r="A138">
        <v>14132</v>
      </c>
      <c r="B138">
        <v>5113</v>
      </c>
      <c r="C138">
        <v>853</v>
      </c>
      <c r="D138">
        <v>675</v>
      </c>
      <c r="E138">
        <v>191</v>
      </c>
      <c r="F138">
        <v>12139</v>
      </c>
      <c r="G138">
        <v>31</v>
      </c>
      <c r="H138">
        <v>24</v>
      </c>
      <c r="I138">
        <v>4405</v>
      </c>
      <c r="J138">
        <v>15.14</v>
      </c>
      <c r="K138">
        <v>22.7</v>
      </c>
      <c r="L138">
        <v>2.65</v>
      </c>
      <c r="M138">
        <v>7.33</v>
      </c>
      <c r="N138">
        <v>1.4</v>
      </c>
      <c r="O138">
        <v>0.4</v>
      </c>
      <c r="P138">
        <v>25.14</v>
      </c>
      <c r="Q138">
        <v>15.89</v>
      </c>
      <c r="R138">
        <v>8.48</v>
      </c>
      <c r="S138">
        <v>11.53</v>
      </c>
      <c r="T138">
        <v>13.17</v>
      </c>
      <c r="U138">
        <v>2.06</v>
      </c>
      <c r="V138">
        <v>33.520000000000003</v>
      </c>
      <c r="W138">
        <v>45.83</v>
      </c>
      <c r="X138">
        <v>279</v>
      </c>
      <c r="Y138">
        <v>24</v>
      </c>
      <c r="Z138">
        <v>1173</v>
      </c>
      <c r="AA138">
        <v>87</v>
      </c>
      <c r="AB138">
        <v>5526</v>
      </c>
      <c r="AC138">
        <v>1258</v>
      </c>
      <c r="AD138">
        <v>5755</v>
      </c>
      <c r="AE138">
        <v>7405</v>
      </c>
      <c r="AF138">
        <v>10958</v>
      </c>
      <c r="AG138">
        <v>9.3290000000000006</v>
      </c>
      <c r="AH138">
        <v>28025</v>
      </c>
      <c r="AI138">
        <v>0.46</v>
      </c>
      <c r="AJ138">
        <v>0.45</v>
      </c>
      <c r="AK138">
        <v>4.6015959528029199E-3</v>
      </c>
      <c r="AL138">
        <v>2.6843734730509001</v>
      </c>
      <c r="AM138">
        <v>29.5881135476121</v>
      </c>
      <c r="AN138">
        <v>1.76</v>
      </c>
      <c r="AO138">
        <v>24.93</v>
      </c>
      <c r="AP138">
        <v>6.08</v>
      </c>
      <c r="AQ138">
        <v>8.2899999999999991</v>
      </c>
    </row>
    <row r="139" spans="1:43" x14ac:dyDescent="0.25">
      <c r="A139">
        <v>13752</v>
      </c>
      <c r="B139">
        <v>4803</v>
      </c>
      <c r="C139">
        <v>1004</v>
      </c>
      <c r="D139">
        <v>433</v>
      </c>
      <c r="E139">
        <v>768</v>
      </c>
      <c r="F139">
        <v>11545</v>
      </c>
      <c r="G139">
        <v>140</v>
      </c>
      <c r="H139">
        <v>106</v>
      </c>
      <c r="I139">
        <v>4214</v>
      </c>
      <c r="J139">
        <v>14.73</v>
      </c>
      <c r="K139">
        <v>21.32</v>
      </c>
      <c r="L139">
        <v>3.12</v>
      </c>
      <c r="M139">
        <v>7.01</v>
      </c>
      <c r="N139">
        <v>0.9</v>
      </c>
      <c r="O139">
        <v>1.59</v>
      </c>
      <c r="P139">
        <v>23.91</v>
      </c>
      <c r="Q139">
        <v>14.92</v>
      </c>
      <c r="R139">
        <v>9.98</v>
      </c>
      <c r="S139">
        <v>12.33</v>
      </c>
      <c r="T139">
        <v>12.03</v>
      </c>
      <c r="U139">
        <v>2.4900000000000002</v>
      </c>
      <c r="V139">
        <v>31.88</v>
      </c>
      <c r="W139">
        <v>44.4</v>
      </c>
      <c r="X139">
        <v>277</v>
      </c>
      <c r="Y139">
        <v>105</v>
      </c>
      <c r="Z139">
        <v>1116</v>
      </c>
      <c r="AA139">
        <v>208</v>
      </c>
      <c r="AB139">
        <v>5546</v>
      </c>
      <c r="AC139">
        <v>1213</v>
      </c>
      <c r="AD139">
        <v>5770</v>
      </c>
      <c r="AE139">
        <v>7084</v>
      </c>
      <c r="AF139">
        <v>10473</v>
      </c>
      <c r="AG139">
        <v>9.82</v>
      </c>
      <c r="AH139">
        <v>27334</v>
      </c>
      <c r="AI139">
        <v>0.45</v>
      </c>
      <c r="AJ139">
        <v>0.45</v>
      </c>
      <c r="AK139">
        <v>1.2962652435098299E-3</v>
      </c>
      <c r="AL139">
        <v>2.4326397998228302</v>
      </c>
      <c r="AM139">
        <v>33.018478706163002</v>
      </c>
      <c r="AN139">
        <v>13.33</v>
      </c>
      <c r="AO139">
        <v>11.01</v>
      </c>
      <c r="AP139">
        <v>8.33</v>
      </c>
      <c r="AQ139">
        <v>11.36</v>
      </c>
    </row>
    <row r="140" spans="1:43" x14ac:dyDescent="0.25">
      <c r="A140">
        <v>14226</v>
      </c>
      <c r="B140">
        <v>4089</v>
      </c>
      <c r="C140">
        <v>1218</v>
      </c>
      <c r="D140">
        <v>9</v>
      </c>
      <c r="E140">
        <v>1121</v>
      </c>
      <c r="F140">
        <v>11657</v>
      </c>
      <c r="G140">
        <v>588</v>
      </c>
      <c r="H140">
        <v>446</v>
      </c>
      <c r="I140">
        <v>3426</v>
      </c>
      <c r="J140">
        <v>15.24</v>
      </c>
      <c r="K140">
        <v>18.149999999999999</v>
      </c>
      <c r="L140">
        <v>3.79</v>
      </c>
      <c r="M140">
        <v>5.7</v>
      </c>
      <c r="N140">
        <v>0.02</v>
      </c>
      <c r="O140">
        <v>2.3199999999999998</v>
      </c>
      <c r="P140">
        <v>24.14</v>
      </c>
      <c r="Q140">
        <v>12.7</v>
      </c>
      <c r="R140">
        <v>12.11</v>
      </c>
      <c r="S140">
        <v>13.59</v>
      </c>
      <c r="T140">
        <v>11.27</v>
      </c>
      <c r="U140">
        <v>5.78</v>
      </c>
      <c r="V140">
        <v>32.19</v>
      </c>
      <c r="W140">
        <v>38.869999999999997</v>
      </c>
      <c r="X140">
        <v>485</v>
      </c>
      <c r="Y140">
        <v>442</v>
      </c>
      <c r="Z140">
        <v>1126</v>
      </c>
      <c r="AA140">
        <v>347</v>
      </c>
      <c r="AB140">
        <v>5765</v>
      </c>
      <c r="AC140">
        <v>1145</v>
      </c>
      <c r="AD140">
        <v>5702</v>
      </c>
      <c r="AE140">
        <v>5759</v>
      </c>
      <c r="AF140">
        <v>9019</v>
      </c>
      <c r="AG140">
        <v>10.252000000000001</v>
      </c>
      <c r="AH140">
        <v>25153</v>
      </c>
      <c r="AI140">
        <v>0.46</v>
      </c>
      <c r="AJ140">
        <v>0.45</v>
      </c>
      <c r="AK140">
        <v>2.3809189449627299E-2</v>
      </c>
      <c r="AL140">
        <v>1.6418485249913</v>
      </c>
      <c r="AM140">
        <v>31.4737403294824</v>
      </c>
      <c r="AN140">
        <v>6.81</v>
      </c>
      <c r="AO140">
        <v>19.39</v>
      </c>
      <c r="AP140">
        <v>0.89</v>
      </c>
      <c r="AQ140">
        <v>1.21</v>
      </c>
    </row>
    <row r="141" spans="1:43" x14ac:dyDescent="0.25">
      <c r="A141">
        <v>10949</v>
      </c>
      <c r="B141">
        <v>4897</v>
      </c>
      <c r="C141">
        <v>893</v>
      </c>
      <c r="D141">
        <v>14</v>
      </c>
      <c r="E141">
        <v>883</v>
      </c>
      <c r="F141">
        <v>12237</v>
      </c>
      <c r="G141">
        <v>9</v>
      </c>
      <c r="H141">
        <v>7</v>
      </c>
      <c r="I141">
        <v>4444</v>
      </c>
      <c r="J141">
        <v>11.73</v>
      </c>
      <c r="K141">
        <v>21.74</v>
      </c>
      <c r="L141">
        <v>2.77</v>
      </c>
      <c r="M141">
        <v>7.39</v>
      </c>
      <c r="N141">
        <v>0.03</v>
      </c>
      <c r="O141">
        <v>1.83</v>
      </c>
      <c r="P141">
        <v>25.35</v>
      </c>
      <c r="Q141">
        <v>15.22</v>
      </c>
      <c r="R141">
        <v>8.8800000000000008</v>
      </c>
      <c r="S141">
        <v>12.55</v>
      </c>
      <c r="T141">
        <v>9.6300000000000008</v>
      </c>
      <c r="U141">
        <v>0.13</v>
      </c>
      <c r="V141">
        <v>33.79</v>
      </c>
      <c r="W141">
        <v>45.51</v>
      </c>
      <c r="X141">
        <v>13</v>
      </c>
      <c r="Y141">
        <v>7</v>
      </c>
      <c r="Z141">
        <v>1183</v>
      </c>
      <c r="AA141">
        <v>350</v>
      </c>
      <c r="AB141">
        <v>5488</v>
      </c>
      <c r="AC141">
        <v>1172</v>
      </c>
      <c r="AD141">
        <v>5775</v>
      </c>
      <c r="AE141">
        <v>7470</v>
      </c>
      <c r="AF141">
        <v>10483</v>
      </c>
      <c r="AG141">
        <v>10.33</v>
      </c>
      <c r="AH141">
        <v>27486</v>
      </c>
      <c r="AI141">
        <v>0.41</v>
      </c>
      <c r="AJ141">
        <v>0.45</v>
      </c>
      <c r="AK141">
        <v>0.145298986352318</v>
      </c>
      <c r="AL141">
        <v>1.80329299099379</v>
      </c>
      <c r="AM141">
        <v>33.5541032895744</v>
      </c>
      <c r="AN141">
        <v>0.32</v>
      </c>
      <c r="AO141">
        <v>24.07</v>
      </c>
      <c r="AP141">
        <v>4.75</v>
      </c>
      <c r="AQ141">
        <v>6.47</v>
      </c>
    </row>
    <row r="142" spans="1:43" x14ac:dyDescent="0.25">
      <c r="A142">
        <v>10116</v>
      </c>
      <c r="B142">
        <v>4896</v>
      </c>
      <c r="C142">
        <v>1058</v>
      </c>
      <c r="D142">
        <v>349</v>
      </c>
      <c r="E142">
        <v>548</v>
      </c>
      <c r="F142">
        <v>11447</v>
      </c>
      <c r="G142">
        <v>83</v>
      </c>
      <c r="H142">
        <v>63</v>
      </c>
      <c r="I142">
        <v>4314</v>
      </c>
      <c r="J142">
        <v>10.84</v>
      </c>
      <c r="K142">
        <v>21.73</v>
      </c>
      <c r="L142">
        <v>3.29</v>
      </c>
      <c r="M142">
        <v>7.18</v>
      </c>
      <c r="N142">
        <v>0.72</v>
      </c>
      <c r="O142">
        <v>1.1399999999999999</v>
      </c>
      <c r="P142">
        <v>23.71</v>
      </c>
      <c r="Q142">
        <v>15.21</v>
      </c>
      <c r="R142">
        <v>10.52</v>
      </c>
      <c r="S142">
        <v>12.81</v>
      </c>
      <c r="T142">
        <v>8.69</v>
      </c>
      <c r="U142">
        <v>1.71</v>
      </c>
      <c r="V142">
        <v>31.61</v>
      </c>
      <c r="W142">
        <v>44.73</v>
      </c>
      <c r="X142">
        <v>199</v>
      </c>
      <c r="Y142">
        <v>62</v>
      </c>
      <c r="Z142">
        <v>1106</v>
      </c>
      <c r="AA142">
        <v>421</v>
      </c>
      <c r="AB142">
        <v>5656</v>
      </c>
      <c r="AC142">
        <v>1146</v>
      </c>
      <c r="AD142">
        <v>5807</v>
      </c>
      <c r="AE142">
        <v>7252</v>
      </c>
      <c r="AF142">
        <v>10137</v>
      </c>
      <c r="AG142">
        <v>10.999000000000001</v>
      </c>
      <c r="AH142">
        <v>27181</v>
      </c>
      <c r="AI142">
        <v>0.39</v>
      </c>
      <c r="AJ142">
        <v>0.45</v>
      </c>
      <c r="AK142">
        <v>4.7120885908452899E-3</v>
      </c>
      <c r="AL142">
        <v>3.5116666779761001</v>
      </c>
      <c r="AM142">
        <v>30.838359340490999</v>
      </c>
      <c r="AN142">
        <v>5.03</v>
      </c>
      <c r="AO142">
        <v>19.97</v>
      </c>
      <c r="AP142">
        <v>7.08</v>
      </c>
      <c r="AQ142">
        <v>9.64</v>
      </c>
    </row>
    <row r="143" spans="1:43" x14ac:dyDescent="0.25">
      <c r="A143">
        <v>6764</v>
      </c>
      <c r="B143">
        <v>4848</v>
      </c>
      <c r="C143">
        <v>1053</v>
      </c>
      <c r="D143">
        <v>2</v>
      </c>
      <c r="E143">
        <v>291</v>
      </c>
      <c r="F143">
        <v>12149</v>
      </c>
      <c r="G143">
        <v>248</v>
      </c>
      <c r="H143">
        <v>188</v>
      </c>
      <c r="I143">
        <v>4024</v>
      </c>
      <c r="J143">
        <v>7.25</v>
      </c>
      <c r="K143">
        <v>21.52</v>
      </c>
      <c r="L143">
        <v>3.27</v>
      </c>
      <c r="M143">
        <v>6.69</v>
      </c>
      <c r="N143">
        <v>0</v>
      </c>
      <c r="O143">
        <v>0.6</v>
      </c>
      <c r="P143">
        <v>25.16</v>
      </c>
      <c r="Q143">
        <v>15.06</v>
      </c>
      <c r="R143">
        <v>10.47</v>
      </c>
      <c r="S143">
        <v>13.2</v>
      </c>
      <c r="T143">
        <v>5.78</v>
      </c>
      <c r="U143">
        <v>2.4300000000000002</v>
      </c>
      <c r="V143">
        <v>33.549999999999997</v>
      </c>
      <c r="W143">
        <v>43.7</v>
      </c>
      <c r="X143">
        <v>204</v>
      </c>
      <c r="Y143">
        <v>187</v>
      </c>
      <c r="Z143">
        <v>1174</v>
      </c>
      <c r="AA143">
        <v>608</v>
      </c>
      <c r="AB143">
        <v>5953</v>
      </c>
      <c r="AC143">
        <v>1075</v>
      </c>
      <c r="AD143">
        <v>5753</v>
      </c>
      <c r="AE143">
        <v>6764</v>
      </c>
      <c r="AF143">
        <v>9163</v>
      </c>
      <c r="AG143">
        <v>12.121</v>
      </c>
      <c r="AH143">
        <v>26080</v>
      </c>
      <c r="AI143">
        <v>0.35</v>
      </c>
      <c r="AJ143">
        <v>0.45</v>
      </c>
      <c r="AK143">
        <v>0.15084700567036999</v>
      </c>
      <c r="AL143">
        <v>1.79537529728098</v>
      </c>
      <c r="AM143">
        <v>31.3557896590501</v>
      </c>
      <c r="AN143">
        <v>1.29</v>
      </c>
      <c r="AO143">
        <v>24.75</v>
      </c>
      <c r="AP143">
        <v>0.53</v>
      </c>
      <c r="AQ143">
        <v>0.73</v>
      </c>
    </row>
    <row r="144" spans="1:43" x14ac:dyDescent="0.25">
      <c r="A144">
        <v>6289</v>
      </c>
      <c r="B144">
        <v>4661</v>
      </c>
      <c r="C144">
        <v>1024</v>
      </c>
      <c r="D144">
        <v>27</v>
      </c>
      <c r="E144">
        <v>954</v>
      </c>
      <c r="F144">
        <v>11878</v>
      </c>
      <c r="G144">
        <v>90</v>
      </c>
      <c r="H144">
        <v>68</v>
      </c>
      <c r="I144">
        <v>4302</v>
      </c>
      <c r="J144">
        <v>6.74</v>
      </c>
      <c r="K144">
        <v>20.69</v>
      </c>
      <c r="L144">
        <v>3.18</v>
      </c>
      <c r="M144">
        <v>7.16</v>
      </c>
      <c r="N144">
        <v>0.06</v>
      </c>
      <c r="O144">
        <v>1.98</v>
      </c>
      <c r="P144">
        <v>24.6</v>
      </c>
      <c r="Q144">
        <v>14.48</v>
      </c>
      <c r="R144">
        <v>10.18</v>
      </c>
      <c r="S144">
        <v>14.19</v>
      </c>
      <c r="T144">
        <v>5.05</v>
      </c>
      <c r="U144">
        <v>0.95</v>
      </c>
      <c r="V144">
        <v>32.799999999999997</v>
      </c>
      <c r="W144">
        <v>43.57</v>
      </c>
      <c r="X144">
        <v>84</v>
      </c>
      <c r="Y144">
        <v>67</v>
      </c>
      <c r="Z144">
        <v>1148</v>
      </c>
      <c r="AA144">
        <v>709</v>
      </c>
      <c r="AB144">
        <v>5777</v>
      </c>
      <c r="AC144">
        <v>1050</v>
      </c>
      <c r="AD144">
        <v>5794</v>
      </c>
      <c r="AE144">
        <v>7232</v>
      </c>
      <c r="AF144">
        <v>9471</v>
      </c>
      <c r="AG144">
        <v>12.295</v>
      </c>
      <c r="AH144">
        <v>26514</v>
      </c>
      <c r="AI144">
        <v>0.35</v>
      </c>
      <c r="AJ144">
        <v>0.45</v>
      </c>
      <c r="AK144">
        <v>8.0330543365212406E-2</v>
      </c>
      <c r="AL144">
        <v>1.3984736799567199</v>
      </c>
      <c r="AM144">
        <v>33.140723139272097</v>
      </c>
      <c r="AN144">
        <v>0.04</v>
      </c>
      <c r="AO144">
        <v>25.08</v>
      </c>
      <c r="AP144">
        <v>3.35</v>
      </c>
      <c r="AQ144">
        <v>4.5599999999999996</v>
      </c>
    </row>
    <row r="145" spans="1:43" x14ac:dyDescent="0.25">
      <c r="A145">
        <v>8290</v>
      </c>
      <c r="B145">
        <v>3935</v>
      </c>
      <c r="C145">
        <v>1146</v>
      </c>
      <c r="D145">
        <v>0</v>
      </c>
      <c r="E145">
        <v>1514</v>
      </c>
      <c r="F145">
        <v>11849</v>
      </c>
      <c r="G145">
        <v>538</v>
      </c>
      <c r="H145">
        <v>408</v>
      </c>
      <c r="I145">
        <v>3514</v>
      </c>
      <c r="J145">
        <v>8.8800000000000008</v>
      </c>
      <c r="K145">
        <v>17.47</v>
      </c>
      <c r="L145">
        <v>3.56</v>
      </c>
      <c r="M145">
        <v>5.85</v>
      </c>
      <c r="N145">
        <v>0</v>
      </c>
      <c r="O145">
        <v>3.14</v>
      </c>
      <c r="P145">
        <v>24.54</v>
      </c>
      <c r="Q145">
        <v>12.23</v>
      </c>
      <c r="R145">
        <v>11.39</v>
      </c>
      <c r="S145">
        <v>15.03</v>
      </c>
      <c r="T145">
        <v>5.75</v>
      </c>
      <c r="U145">
        <v>5.27</v>
      </c>
      <c r="V145">
        <v>32.72</v>
      </c>
      <c r="W145">
        <v>38.42</v>
      </c>
      <c r="X145">
        <v>441</v>
      </c>
      <c r="Y145">
        <v>404</v>
      </c>
      <c r="Z145">
        <v>1145</v>
      </c>
      <c r="AA145">
        <v>741</v>
      </c>
      <c r="AB145">
        <v>6057</v>
      </c>
      <c r="AC145">
        <v>1015</v>
      </c>
      <c r="AD145">
        <v>5694</v>
      </c>
      <c r="AE145">
        <v>5907</v>
      </c>
      <c r="AF145">
        <v>8214</v>
      </c>
      <c r="AG145">
        <v>12.427</v>
      </c>
      <c r="AH145">
        <v>24592</v>
      </c>
      <c r="AI145">
        <v>0.39</v>
      </c>
      <c r="AJ145">
        <v>0.45</v>
      </c>
      <c r="AK145">
        <v>0.14863551878330999</v>
      </c>
      <c r="AL145">
        <v>2.9547430666296801</v>
      </c>
      <c r="AM145">
        <v>30.038764526092301</v>
      </c>
      <c r="AN145">
        <v>11.85</v>
      </c>
      <c r="AO145">
        <v>14.14</v>
      </c>
      <c r="AP145">
        <v>9.4700000000000006</v>
      </c>
      <c r="AQ145">
        <v>12.9</v>
      </c>
    </row>
    <row r="146" spans="1:43" x14ac:dyDescent="0.25">
      <c r="A146">
        <v>14051</v>
      </c>
      <c r="B146">
        <v>1356</v>
      </c>
      <c r="C146">
        <v>2029</v>
      </c>
      <c r="D146">
        <v>146</v>
      </c>
      <c r="E146">
        <v>732</v>
      </c>
      <c r="F146">
        <v>12117</v>
      </c>
      <c r="G146">
        <v>2467</v>
      </c>
      <c r="H146">
        <v>1870</v>
      </c>
      <c r="I146">
        <v>123</v>
      </c>
      <c r="J146">
        <v>15.05</v>
      </c>
      <c r="K146">
        <v>6.02</v>
      </c>
      <c r="L146">
        <v>6.3</v>
      </c>
      <c r="M146">
        <v>0.2</v>
      </c>
      <c r="N146">
        <v>0.3</v>
      </c>
      <c r="O146">
        <v>1.52</v>
      </c>
      <c r="P146">
        <v>25.1</v>
      </c>
      <c r="Q146">
        <v>4.21</v>
      </c>
      <c r="R146">
        <v>20.170000000000002</v>
      </c>
      <c r="S146">
        <v>20.46</v>
      </c>
      <c r="T146">
        <v>8.81</v>
      </c>
      <c r="U146">
        <v>24.53</v>
      </c>
      <c r="V146">
        <v>33.46</v>
      </c>
      <c r="W146">
        <v>13.72</v>
      </c>
      <c r="X146">
        <v>2075</v>
      </c>
      <c r="Y146">
        <v>1853</v>
      </c>
      <c r="Z146">
        <v>1171</v>
      </c>
      <c r="AA146">
        <v>969</v>
      </c>
      <c r="AB146">
        <v>7268</v>
      </c>
      <c r="AC146">
        <v>844</v>
      </c>
      <c r="AD146">
        <v>5385</v>
      </c>
      <c r="AE146">
        <v>207</v>
      </c>
      <c r="AF146">
        <v>2675</v>
      </c>
      <c r="AG146">
        <v>13.260999999999999</v>
      </c>
      <c r="AH146">
        <v>16298</v>
      </c>
      <c r="AI146">
        <v>0.57999999999999996</v>
      </c>
      <c r="AJ146">
        <v>0.45</v>
      </c>
      <c r="AK146">
        <v>5.4092479984321901E-2</v>
      </c>
      <c r="AL146">
        <v>2.2199392039191301</v>
      </c>
      <c r="AM146">
        <v>33.090971450394498</v>
      </c>
      <c r="AN146">
        <v>11.69</v>
      </c>
      <c r="AO146">
        <v>12.75</v>
      </c>
      <c r="AP146">
        <v>1.66</v>
      </c>
      <c r="AQ146">
        <v>2.2599999999999998</v>
      </c>
    </row>
    <row r="147" spans="1:43" x14ac:dyDescent="0.25">
      <c r="A147">
        <v>13816</v>
      </c>
      <c r="B147">
        <v>23</v>
      </c>
      <c r="C147">
        <v>2458</v>
      </c>
      <c r="D147">
        <v>302</v>
      </c>
      <c r="E147">
        <v>2535</v>
      </c>
      <c r="F147">
        <v>10098</v>
      </c>
      <c r="G147">
        <v>2532</v>
      </c>
      <c r="H147">
        <v>1919</v>
      </c>
      <c r="I147">
        <v>9</v>
      </c>
      <c r="J147">
        <v>14.8</v>
      </c>
      <c r="K147">
        <v>0.1</v>
      </c>
      <c r="L147">
        <v>7.64</v>
      </c>
      <c r="M147">
        <v>0.02</v>
      </c>
      <c r="N147">
        <v>0.63</v>
      </c>
      <c r="O147">
        <v>5.25</v>
      </c>
      <c r="P147">
        <v>20.92</v>
      </c>
      <c r="Q147">
        <v>7.0000000000000007E-2</v>
      </c>
      <c r="R147">
        <v>24.44</v>
      </c>
      <c r="S147">
        <v>26.91</v>
      </c>
      <c r="T147">
        <v>7.94</v>
      </c>
      <c r="U147">
        <v>25.57</v>
      </c>
      <c r="V147">
        <v>27.89</v>
      </c>
      <c r="W147">
        <v>6.04</v>
      </c>
      <c r="X147">
        <v>2187</v>
      </c>
      <c r="Y147">
        <v>1902</v>
      </c>
      <c r="Z147">
        <v>976</v>
      </c>
      <c r="AA147">
        <v>1426</v>
      </c>
      <c r="AB147">
        <v>7032</v>
      </c>
      <c r="AC147">
        <v>692</v>
      </c>
      <c r="AD147">
        <v>5507</v>
      </c>
      <c r="AE147">
        <v>15</v>
      </c>
      <c r="AF147">
        <v>1963</v>
      </c>
      <c r="AG147">
        <v>14.49</v>
      </c>
      <c r="AH147">
        <v>15203</v>
      </c>
      <c r="AI147">
        <v>0.67</v>
      </c>
      <c r="AJ147">
        <v>0.45</v>
      </c>
      <c r="AK147">
        <v>8.4009820266745402E-2</v>
      </c>
      <c r="AL147">
        <v>1.9639140492791201</v>
      </c>
      <c r="AM147">
        <v>32.611561633699502</v>
      </c>
      <c r="AN147">
        <v>12.75</v>
      </c>
      <c r="AO147">
        <v>12.25</v>
      </c>
      <c r="AP147">
        <v>10.17</v>
      </c>
      <c r="AQ147">
        <v>13.86</v>
      </c>
    </row>
    <row r="148" spans="1:43" x14ac:dyDescent="0.25">
      <c r="A148">
        <v>11829</v>
      </c>
      <c r="B148">
        <v>704</v>
      </c>
      <c r="C148">
        <v>2540</v>
      </c>
      <c r="D148">
        <v>22</v>
      </c>
      <c r="E148">
        <v>1519</v>
      </c>
      <c r="F148">
        <v>9978</v>
      </c>
      <c r="G148">
        <v>2481</v>
      </c>
      <c r="H148">
        <v>1881</v>
      </c>
      <c r="I148">
        <v>98</v>
      </c>
      <c r="J148">
        <v>12.67</v>
      </c>
      <c r="K148">
        <v>3.12</v>
      </c>
      <c r="L148">
        <v>7.89</v>
      </c>
      <c r="M148">
        <v>0.16</v>
      </c>
      <c r="N148">
        <v>0.05</v>
      </c>
      <c r="O148">
        <v>3.15</v>
      </c>
      <c r="P148">
        <v>20.67</v>
      </c>
      <c r="Q148">
        <v>2.19</v>
      </c>
      <c r="R148">
        <v>25.25</v>
      </c>
      <c r="S148">
        <v>24.95</v>
      </c>
      <c r="T148">
        <v>6.47</v>
      </c>
      <c r="U148">
        <v>24.36</v>
      </c>
      <c r="V148">
        <v>27.56</v>
      </c>
      <c r="W148">
        <v>9.74</v>
      </c>
      <c r="X148">
        <v>2041</v>
      </c>
      <c r="Y148">
        <v>1864</v>
      </c>
      <c r="Z148">
        <v>964</v>
      </c>
      <c r="AA148">
        <v>1381</v>
      </c>
      <c r="AB148">
        <v>7110</v>
      </c>
      <c r="AC148">
        <v>712</v>
      </c>
      <c r="AD148">
        <v>5549</v>
      </c>
      <c r="AE148">
        <v>165</v>
      </c>
      <c r="AF148">
        <v>2073</v>
      </c>
      <c r="AG148">
        <v>14.757999999999999</v>
      </c>
      <c r="AH148">
        <v>15545</v>
      </c>
      <c r="AI148">
        <v>0.6</v>
      </c>
      <c r="AJ148">
        <v>0.45</v>
      </c>
      <c r="AK148">
        <v>0.58740467468106705</v>
      </c>
      <c r="AL148">
        <v>1.49841483077477</v>
      </c>
      <c r="AM148">
        <v>32.765204040516799</v>
      </c>
      <c r="AN148">
        <v>4.8499999999999996</v>
      </c>
      <c r="AO148">
        <v>20.05</v>
      </c>
      <c r="AP148">
        <v>5.54</v>
      </c>
      <c r="AQ148">
        <v>7.56</v>
      </c>
    </row>
    <row r="149" spans="1:43" x14ac:dyDescent="0.25">
      <c r="A149">
        <v>6266</v>
      </c>
      <c r="B149">
        <v>663</v>
      </c>
      <c r="C149">
        <v>2234</v>
      </c>
      <c r="D149">
        <v>32</v>
      </c>
      <c r="E149">
        <v>1032</v>
      </c>
      <c r="F149">
        <v>11988</v>
      </c>
      <c r="G149">
        <v>2457</v>
      </c>
      <c r="H149">
        <v>1862</v>
      </c>
      <c r="I149">
        <v>141</v>
      </c>
      <c r="J149">
        <v>6.71</v>
      </c>
      <c r="K149">
        <v>2.94</v>
      </c>
      <c r="L149">
        <v>6.94</v>
      </c>
      <c r="M149">
        <v>0.23</v>
      </c>
      <c r="N149">
        <v>7.0000000000000007E-2</v>
      </c>
      <c r="O149">
        <v>2.14</v>
      </c>
      <c r="P149">
        <v>24.83</v>
      </c>
      <c r="Q149">
        <v>2.06</v>
      </c>
      <c r="R149">
        <v>22.21</v>
      </c>
      <c r="S149">
        <v>26.14</v>
      </c>
      <c r="T149">
        <v>2.4</v>
      </c>
      <c r="U149">
        <v>24.13</v>
      </c>
      <c r="V149">
        <v>33.11</v>
      </c>
      <c r="W149">
        <v>8.26</v>
      </c>
      <c r="X149">
        <v>2023</v>
      </c>
      <c r="Y149">
        <v>1846</v>
      </c>
      <c r="Z149">
        <v>1158</v>
      </c>
      <c r="AA149">
        <v>1672</v>
      </c>
      <c r="AB149">
        <v>7431</v>
      </c>
      <c r="AC149">
        <v>612</v>
      </c>
      <c r="AD149">
        <v>5456</v>
      </c>
      <c r="AE149">
        <v>237</v>
      </c>
      <c r="AF149">
        <v>1327</v>
      </c>
      <c r="AG149">
        <v>16.210999999999999</v>
      </c>
      <c r="AH149">
        <v>14971</v>
      </c>
      <c r="AI149">
        <v>0.56000000000000005</v>
      </c>
      <c r="AJ149">
        <v>0.45</v>
      </c>
      <c r="AK149">
        <v>0.15933187779674801</v>
      </c>
      <c r="AL149">
        <v>2.0426003864767099</v>
      </c>
      <c r="AM149">
        <v>32.595840162504501</v>
      </c>
      <c r="AN149">
        <v>9.86</v>
      </c>
      <c r="AO149">
        <v>15.03</v>
      </c>
      <c r="AP149">
        <v>2.66</v>
      </c>
      <c r="AQ149">
        <v>3.62</v>
      </c>
    </row>
    <row r="150" spans="1:43" x14ac:dyDescent="0.25">
      <c r="A150">
        <v>6604</v>
      </c>
      <c r="B150">
        <v>498</v>
      </c>
      <c r="C150">
        <v>2693</v>
      </c>
      <c r="D150">
        <v>133</v>
      </c>
      <c r="E150">
        <v>434</v>
      </c>
      <c r="F150">
        <v>10525</v>
      </c>
      <c r="G150">
        <v>2536</v>
      </c>
      <c r="H150">
        <v>1922</v>
      </c>
      <c r="I150">
        <v>2</v>
      </c>
      <c r="J150">
        <v>7.07</v>
      </c>
      <c r="K150">
        <v>2.21</v>
      </c>
      <c r="L150">
        <v>8.3699999999999992</v>
      </c>
      <c r="M150">
        <v>0</v>
      </c>
      <c r="N150">
        <v>0.28000000000000003</v>
      </c>
      <c r="O150">
        <v>0.9</v>
      </c>
      <c r="P150">
        <v>21.8</v>
      </c>
      <c r="Q150">
        <v>1.55</v>
      </c>
      <c r="R150">
        <v>26.78</v>
      </c>
      <c r="S150">
        <v>27.83</v>
      </c>
      <c r="T150">
        <v>2.5299999999999998</v>
      </c>
      <c r="U150">
        <v>25.17</v>
      </c>
      <c r="V150">
        <v>29.07</v>
      </c>
      <c r="W150">
        <v>5.42</v>
      </c>
      <c r="X150">
        <v>2126</v>
      </c>
      <c r="Y150">
        <v>1905</v>
      </c>
      <c r="Z150">
        <v>1017</v>
      </c>
      <c r="AA150">
        <v>1774</v>
      </c>
      <c r="AB150">
        <v>7310</v>
      </c>
      <c r="AC150">
        <v>580</v>
      </c>
      <c r="AD150">
        <v>5582</v>
      </c>
      <c r="AE150">
        <v>3</v>
      </c>
      <c r="AF150">
        <v>1117</v>
      </c>
      <c r="AG150">
        <v>16.446000000000002</v>
      </c>
      <c r="AH150">
        <v>14591</v>
      </c>
      <c r="AI150">
        <v>0.57999999999999996</v>
      </c>
      <c r="AJ150">
        <v>0.45</v>
      </c>
      <c r="AK150">
        <v>8.1972276126464294E-2</v>
      </c>
      <c r="AL150">
        <v>2.35940429162437</v>
      </c>
      <c r="AM150">
        <v>32.842488018337001</v>
      </c>
      <c r="AN150">
        <v>0.69</v>
      </c>
      <c r="AO150">
        <v>23.79</v>
      </c>
      <c r="AP150">
        <v>1.83</v>
      </c>
      <c r="AQ150">
        <v>2.5</v>
      </c>
    </row>
    <row r="151" spans="1:43" x14ac:dyDescent="0.25">
      <c r="A151">
        <v>5603</v>
      </c>
      <c r="B151">
        <v>696</v>
      </c>
      <c r="C151">
        <v>2303</v>
      </c>
      <c r="D151">
        <v>24</v>
      </c>
      <c r="E151">
        <v>732</v>
      </c>
      <c r="F151">
        <v>11911</v>
      </c>
      <c r="G151">
        <v>2520</v>
      </c>
      <c r="H151">
        <v>1910</v>
      </c>
      <c r="I151">
        <v>30</v>
      </c>
      <c r="J151">
        <v>6</v>
      </c>
      <c r="K151">
        <v>3.09</v>
      </c>
      <c r="L151">
        <v>7.16</v>
      </c>
      <c r="M151">
        <v>0.05</v>
      </c>
      <c r="N151">
        <v>0.05</v>
      </c>
      <c r="O151">
        <v>1.52</v>
      </c>
      <c r="P151">
        <v>24.67</v>
      </c>
      <c r="Q151">
        <v>2.16</v>
      </c>
      <c r="R151">
        <v>22.9</v>
      </c>
      <c r="S151">
        <v>26.34</v>
      </c>
      <c r="T151">
        <v>2.0099999999999998</v>
      </c>
      <c r="U151">
        <v>24.73</v>
      </c>
      <c r="V151">
        <v>32.89</v>
      </c>
      <c r="W151">
        <v>7.86</v>
      </c>
      <c r="X151">
        <v>2072</v>
      </c>
      <c r="Y151">
        <v>1893</v>
      </c>
      <c r="Z151">
        <v>1151</v>
      </c>
      <c r="AA151">
        <v>1706</v>
      </c>
      <c r="AB151">
        <v>7520</v>
      </c>
      <c r="AC151">
        <v>599</v>
      </c>
      <c r="AD151">
        <v>5459</v>
      </c>
      <c r="AE151">
        <v>50</v>
      </c>
      <c r="AF151">
        <v>1065</v>
      </c>
      <c r="AG151">
        <v>16.492999999999999</v>
      </c>
      <c r="AH151">
        <v>14674</v>
      </c>
      <c r="AI151">
        <v>0.55000000000000004</v>
      </c>
      <c r="AJ151">
        <v>0.45</v>
      </c>
      <c r="AK151">
        <v>0.59175058567257799</v>
      </c>
      <c r="AL151">
        <v>2.9594075362635999</v>
      </c>
      <c r="AM151">
        <v>32.373209343644902</v>
      </c>
      <c r="AN151">
        <v>0.27</v>
      </c>
      <c r="AO151">
        <v>23.61</v>
      </c>
      <c r="AP151">
        <v>1.92</v>
      </c>
      <c r="AQ151">
        <v>2.62</v>
      </c>
    </row>
    <row r="152" spans="1:43" x14ac:dyDescent="0.25">
      <c r="A152">
        <v>5586</v>
      </c>
      <c r="B152">
        <v>42</v>
      </c>
      <c r="C152">
        <v>2501</v>
      </c>
      <c r="D152">
        <v>230</v>
      </c>
      <c r="E152">
        <v>1211</v>
      </c>
      <c r="F152">
        <v>11260</v>
      </c>
      <c r="G152">
        <v>2526</v>
      </c>
      <c r="H152">
        <v>1914</v>
      </c>
      <c r="I152">
        <v>20</v>
      </c>
      <c r="J152">
        <v>5.98</v>
      </c>
      <c r="K152">
        <v>0.19</v>
      </c>
      <c r="L152">
        <v>7.77</v>
      </c>
      <c r="M152">
        <v>0.03</v>
      </c>
      <c r="N152">
        <v>0.48</v>
      </c>
      <c r="O152">
        <v>2.5099999999999998</v>
      </c>
      <c r="P152">
        <v>23.32</v>
      </c>
      <c r="Q152">
        <v>0.13</v>
      </c>
      <c r="R152">
        <v>24.86</v>
      </c>
      <c r="S152">
        <v>29.72</v>
      </c>
      <c r="T152">
        <v>1.87</v>
      </c>
      <c r="U152">
        <v>25.32</v>
      </c>
      <c r="V152">
        <v>31.1</v>
      </c>
      <c r="W152">
        <v>3.16</v>
      </c>
      <c r="X152">
        <v>2154</v>
      </c>
      <c r="Y152">
        <v>1898</v>
      </c>
      <c r="Z152">
        <v>1088</v>
      </c>
      <c r="AA152">
        <v>1926</v>
      </c>
      <c r="AB152">
        <v>7360</v>
      </c>
      <c r="AC152">
        <v>527</v>
      </c>
      <c r="AD152">
        <v>5523</v>
      </c>
      <c r="AE152">
        <v>34</v>
      </c>
      <c r="AF152">
        <v>823</v>
      </c>
      <c r="AG152">
        <v>16.902999999999999</v>
      </c>
      <c r="AH152">
        <v>14254</v>
      </c>
      <c r="AI152">
        <v>0.61</v>
      </c>
      <c r="AJ152">
        <v>0.45</v>
      </c>
      <c r="AK152">
        <v>1.4322369017425699E-2</v>
      </c>
      <c r="AL152">
        <v>3.3044351122958702</v>
      </c>
      <c r="AM152">
        <v>29.319186221607399</v>
      </c>
      <c r="AN152">
        <v>7.02</v>
      </c>
      <c r="AO152">
        <v>19.3</v>
      </c>
      <c r="AP152">
        <v>0.86</v>
      </c>
      <c r="AQ152">
        <v>1.17</v>
      </c>
    </row>
    <row r="153" spans="1:43" x14ac:dyDescent="0.25">
      <c r="A153">
        <v>13708</v>
      </c>
      <c r="B153">
        <v>4911</v>
      </c>
      <c r="C153">
        <v>983</v>
      </c>
      <c r="D153">
        <v>433</v>
      </c>
      <c r="E153">
        <v>768</v>
      </c>
      <c r="F153">
        <v>11480</v>
      </c>
      <c r="G153">
        <v>140</v>
      </c>
      <c r="H153">
        <v>106</v>
      </c>
      <c r="I153">
        <v>4214</v>
      </c>
      <c r="J153">
        <v>14.69</v>
      </c>
      <c r="K153">
        <v>21.8</v>
      </c>
      <c r="L153">
        <v>3.06</v>
      </c>
      <c r="M153">
        <v>7.01</v>
      </c>
      <c r="N153">
        <v>0.9</v>
      </c>
      <c r="O153">
        <v>1.59</v>
      </c>
      <c r="P153">
        <v>23.78</v>
      </c>
      <c r="Q153">
        <v>15.26</v>
      </c>
      <c r="R153">
        <v>9.7799999999999994</v>
      </c>
      <c r="S153">
        <v>12.02</v>
      </c>
      <c r="T153">
        <v>12.22</v>
      </c>
      <c r="U153">
        <v>2.4900000000000002</v>
      </c>
      <c r="V153">
        <v>31.71</v>
      </c>
      <c r="W153">
        <v>45.36</v>
      </c>
      <c r="X153">
        <v>277</v>
      </c>
      <c r="Y153">
        <v>105</v>
      </c>
      <c r="Z153">
        <v>1109</v>
      </c>
      <c r="AA153">
        <v>177</v>
      </c>
      <c r="AB153">
        <v>5591</v>
      </c>
      <c r="AC153">
        <v>1224</v>
      </c>
      <c r="AD153">
        <v>5764</v>
      </c>
      <c r="AE153">
        <v>7084</v>
      </c>
      <c r="AF153">
        <v>10498</v>
      </c>
      <c r="AG153">
        <v>9.8450000000000006</v>
      </c>
      <c r="AH153">
        <v>27409</v>
      </c>
      <c r="AI153">
        <v>0.45</v>
      </c>
      <c r="AJ153">
        <v>0.46</v>
      </c>
      <c r="AK153">
        <v>0.26185670299934499</v>
      </c>
      <c r="AL153">
        <v>1.0157428397977799</v>
      </c>
      <c r="AM153">
        <v>30.356889995609201</v>
      </c>
      <c r="AN153">
        <v>16.39</v>
      </c>
      <c r="AO153">
        <v>11.02</v>
      </c>
      <c r="AP153">
        <v>0.56999999999999995</v>
      </c>
      <c r="AQ153">
        <v>0.78</v>
      </c>
    </row>
    <row r="154" spans="1:43" x14ac:dyDescent="0.25">
      <c r="A154">
        <v>13049</v>
      </c>
      <c r="B154">
        <v>4341</v>
      </c>
      <c r="C154">
        <v>1251</v>
      </c>
      <c r="D154">
        <v>45</v>
      </c>
      <c r="E154">
        <v>1477</v>
      </c>
      <c r="F154">
        <v>10727</v>
      </c>
      <c r="G154">
        <v>420</v>
      </c>
      <c r="H154">
        <v>319</v>
      </c>
      <c r="I154">
        <v>3721</v>
      </c>
      <c r="J154">
        <v>13.98</v>
      </c>
      <c r="K154">
        <v>19.27</v>
      </c>
      <c r="L154">
        <v>3.89</v>
      </c>
      <c r="M154">
        <v>6.19</v>
      </c>
      <c r="N154">
        <v>0.09</v>
      </c>
      <c r="O154">
        <v>3.06</v>
      </c>
      <c r="P154">
        <v>22.22</v>
      </c>
      <c r="Q154">
        <v>13.49</v>
      </c>
      <c r="R154">
        <v>12.44</v>
      </c>
      <c r="S154">
        <v>13.48</v>
      </c>
      <c r="T154">
        <v>10.43</v>
      </c>
      <c r="U154">
        <v>4.24</v>
      </c>
      <c r="V154">
        <v>29.63</v>
      </c>
      <c r="W154">
        <v>41.93</v>
      </c>
      <c r="X154">
        <v>362</v>
      </c>
      <c r="Y154">
        <v>315</v>
      </c>
      <c r="Z154">
        <v>1037</v>
      </c>
      <c r="AA154">
        <v>381</v>
      </c>
      <c r="AB154">
        <v>5723</v>
      </c>
      <c r="AC154">
        <v>1143</v>
      </c>
      <c r="AD154">
        <v>5765</v>
      </c>
      <c r="AE154">
        <v>6255</v>
      </c>
      <c r="AF154">
        <v>9388</v>
      </c>
      <c r="AG154">
        <v>10.724</v>
      </c>
      <c r="AH154">
        <v>25844</v>
      </c>
      <c r="AI154">
        <v>0.44</v>
      </c>
      <c r="AJ154">
        <v>0.46</v>
      </c>
      <c r="AK154">
        <v>0.115724455585713</v>
      </c>
      <c r="AL154">
        <v>3.3987283602224001</v>
      </c>
      <c r="AM154">
        <v>29.626501089313201</v>
      </c>
      <c r="AN154">
        <v>13.49</v>
      </c>
      <c r="AO154">
        <v>12.44</v>
      </c>
      <c r="AP154">
        <v>1.74</v>
      </c>
      <c r="AQ154">
        <v>2.38</v>
      </c>
    </row>
    <row r="155" spans="1:43" x14ac:dyDescent="0.25">
      <c r="A155">
        <v>14358</v>
      </c>
      <c r="B155">
        <v>3302</v>
      </c>
      <c r="C155">
        <v>1423</v>
      </c>
      <c r="D155">
        <v>2</v>
      </c>
      <c r="E155">
        <v>971</v>
      </c>
      <c r="F155">
        <v>12012</v>
      </c>
      <c r="G155">
        <v>1471</v>
      </c>
      <c r="H155">
        <v>1115</v>
      </c>
      <c r="I155">
        <v>1874</v>
      </c>
      <c r="J155">
        <v>15.38</v>
      </c>
      <c r="K155">
        <v>14.66</v>
      </c>
      <c r="L155">
        <v>4.42</v>
      </c>
      <c r="M155">
        <v>3.12</v>
      </c>
      <c r="N155">
        <v>0</v>
      </c>
      <c r="O155">
        <v>2.0099999999999998</v>
      </c>
      <c r="P155">
        <v>24.88</v>
      </c>
      <c r="Q155">
        <v>10.26</v>
      </c>
      <c r="R155">
        <v>14.14</v>
      </c>
      <c r="S155">
        <v>14.3</v>
      </c>
      <c r="T155">
        <v>10.58</v>
      </c>
      <c r="U155">
        <v>14.42</v>
      </c>
      <c r="V155">
        <v>33.17</v>
      </c>
      <c r="W155">
        <v>31.55</v>
      </c>
      <c r="X155">
        <v>1206</v>
      </c>
      <c r="Y155">
        <v>1106</v>
      </c>
      <c r="Z155">
        <v>1161</v>
      </c>
      <c r="AA155">
        <v>453</v>
      </c>
      <c r="AB155">
        <v>6660</v>
      </c>
      <c r="AC155">
        <v>1063</v>
      </c>
      <c r="AD155">
        <v>5495</v>
      </c>
      <c r="AE155">
        <v>3150</v>
      </c>
      <c r="AF155">
        <v>6216</v>
      </c>
      <c r="AG155">
        <v>11.506</v>
      </c>
      <c r="AH155">
        <v>21360</v>
      </c>
      <c r="AI155">
        <v>0.48</v>
      </c>
      <c r="AJ155">
        <v>0.46</v>
      </c>
      <c r="AK155">
        <v>0.14874221328635501</v>
      </c>
      <c r="AL155">
        <v>1.8216350801621599</v>
      </c>
      <c r="AM155">
        <v>31.127058170420899</v>
      </c>
      <c r="AN155">
        <v>1.35</v>
      </c>
      <c r="AO155">
        <v>24.85</v>
      </c>
      <c r="AP155">
        <v>7.97</v>
      </c>
      <c r="AQ155">
        <v>10.87</v>
      </c>
    </row>
    <row r="156" spans="1:43" x14ac:dyDescent="0.25">
      <c r="A156">
        <v>8714</v>
      </c>
      <c r="B156">
        <v>4448</v>
      </c>
      <c r="C156">
        <v>1132</v>
      </c>
      <c r="D156">
        <v>126</v>
      </c>
      <c r="E156">
        <v>945</v>
      </c>
      <c r="F156">
        <v>11592</v>
      </c>
      <c r="G156">
        <v>522</v>
      </c>
      <c r="H156">
        <v>396</v>
      </c>
      <c r="I156">
        <v>3542</v>
      </c>
      <c r="J156">
        <v>9.34</v>
      </c>
      <c r="K156">
        <v>19.739999999999998</v>
      </c>
      <c r="L156">
        <v>3.52</v>
      </c>
      <c r="M156">
        <v>5.89</v>
      </c>
      <c r="N156">
        <v>0.26</v>
      </c>
      <c r="O156">
        <v>1.96</v>
      </c>
      <c r="P156">
        <v>24.01</v>
      </c>
      <c r="Q156">
        <v>13.82</v>
      </c>
      <c r="R156">
        <v>11.25</v>
      </c>
      <c r="S156">
        <v>13.37</v>
      </c>
      <c r="T156">
        <v>6.82</v>
      </c>
      <c r="U156">
        <v>5.44</v>
      </c>
      <c r="V156">
        <v>32.01</v>
      </c>
      <c r="W156">
        <v>41.66</v>
      </c>
      <c r="X156">
        <v>475</v>
      </c>
      <c r="Y156">
        <v>392</v>
      </c>
      <c r="Z156">
        <v>1120</v>
      </c>
      <c r="AA156">
        <v>573</v>
      </c>
      <c r="AB156">
        <v>6164</v>
      </c>
      <c r="AC156">
        <v>1073</v>
      </c>
      <c r="AD156">
        <v>5694</v>
      </c>
      <c r="AE156">
        <v>5954</v>
      </c>
      <c r="AF156">
        <v>8491</v>
      </c>
      <c r="AG156">
        <v>12.191000000000001</v>
      </c>
      <c r="AH156">
        <v>25063</v>
      </c>
      <c r="AI156">
        <v>0.38</v>
      </c>
      <c r="AJ156">
        <v>0.46</v>
      </c>
      <c r="AK156">
        <v>0.36569669158906498</v>
      </c>
      <c r="AL156">
        <v>2.1771751026012298</v>
      </c>
      <c r="AM156">
        <v>30.361799838847499</v>
      </c>
      <c r="AN156">
        <v>1.54</v>
      </c>
      <c r="AO156">
        <v>24.74</v>
      </c>
      <c r="AP156">
        <v>5.9</v>
      </c>
      <c r="AQ156">
        <v>8.0399999999999991</v>
      </c>
    </row>
    <row r="157" spans="1:43" x14ac:dyDescent="0.25">
      <c r="A157">
        <v>10225</v>
      </c>
      <c r="B157">
        <v>2305</v>
      </c>
      <c r="C157">
        <v>1728</v>
      </c>
      <c r="D157">
        <v>1</v>
      </c>
      <c r="E157">
        <v>822</v>
      </c>
      <c r="F157">
        <v>12191</v>
      </c>
      <c r="G157">
        <v>2010</v>
      </c>
      <c r="H157">
        <v>1524</v>
      </c>
      <c r="I157">
        <v>926</v>
      </c>
      <c r="J157">
        <v>10.95</v>
      </c>
      <c r="K157">
        <v>10.23</v>
      </c>
      <c r="L157">
        <v>5.37</v>
      </c>
      <c r="M157">
        <v>1.54</v>
      </c>
      <c r="N157">
        <v>0</v>
      </c>
      <c r="O157">
        <v>1.7</v>
      </c>
      <c r="P157">
        <v>25.25</v>
      </c>
      <c r="Q157">
        <v>7.16</v>
      </c>
      <c r="R157">
        <v>17.18</v>
      </c>
      <c r="S157">
        <v>18.03</v>
      </c>
      <c r="T157">
        <v>6.08</v>
      </c>
      <c r="U157">
        <v>19.690000000000001</v>
      </c>
      <c r="V157">
        <v>33.67</v>
      </c>
      <c r="W157">
        <v>22.36</v>
      </c>
      <c r="X157">
        <v>1647</v>
      </c>
      <c r="Y157">
        <v>1510</v>
      </c>
      <c r="Z157">
        <v>1178</v>
      </c>
      <c r="AA157">
        <v>951</v>
      </c>
      <c r="AB157">
        <v>7231</v>
      </c>
      <c r="AC157">
        <v>871</v>
      </c>
      <c r="AD157">
        <v>5428</v>
      </c>
      <c r="AE157">
        <v>1557</v>
      </c>
      <c r="AF157">
        <v>3724</v>
      </c>
      <c r="AG157">
        <v>13.852</v>
      </c>
      <c r="AH157">
        <v>18206</v>
      </c>
      <c r="AI157">
        <v>0.47</v>
      </c>
      <c r="AJ157">
        <v>0.46</v>
      </c>
      <c r="AK157">
        <v>4.4724464971486903E-2</v>
      </c>
      <c r="AL157">
        <v>2.3591206858991098</v>
      </c>
      <c r="AM157">
        <v>32.049492942677396</v>
      </c>
      <c r="AN157">
        <v>7.78</v>
      </c>
      <c r="AO157">
        <v>17.329999999999998</v>
      </c>
      <c r="AP157">
        <v>6.34</v>
      </c>
      <c r="AQ157">
        <v>8.64</v>
      </c>
    </row>
    <row r="158" spans="1:43" x14ac:dyDescent="0.25">
      <c r="A158">
        <v>14952</v>
      </c>
      <c r="B158">
        <v>5536</v>
      </c>
      <c r="C158">
        <v>726</v>
      </c>
      <c r="D158">
        <v>64</v>
      </c>
      <c r="E158">
        <v>803</v>
      </c>
      <c r="F158">
        <v>12111</v>
      </c>
      <c r="G158">
        <v>51</v>
      </c>
      <c r="H158">
        <v>39</v>
      </c>
      <c r="I158">
        <v>4370</v>
      </c>
      <c r="J158">
        <v>16.02</v>
      </c>
      <c r="K158">
        <v>24.57</v>
      </c>
      <c r="L158">
        <v>2.2599999999999998</v>
      </c>
      <c r="M158">
        <v>7.27</v>
      </c>
      <c r="N158">
        <v>0.13</v>
      </c>
      <c r="O158">
        <v>1.66</v>
      </c>
      <c r="P158">
        <v>25.09</v>
      </c>
      <c r="Q158">
        <v>17.2</v>
      </c>
      <c r="R158">
        <v>7.22</v>
      </c>
      <c r="S158">
        <v>10.37</v>
      </c>
      <c r="T158">
        <v>15.21</v>
      </c>
      <c r="U158">
        <v>0.67</v>
      </c>
      <c r="V158">
        <v>33.450000000000003</v>
      </c>
      <c r="W158">
        <v>50.99</v>
      </c>
      <c r="X158">
        <v>66</v>
      </c>
      <c r="Y158">
        <v>38</v>
      </c>
      <c r="Z158">
        <v>1170</v>
      </c>
      <c r="AA158">
        <v>-108</v>
      </c>
      <c r="AB158">
        <v>5573</v>
      </c>
      <c r="AC158">
        <v>1320</v>
      </c>
      <c r="AD158">
        <v>5707</v>
      </c>
      <c r="AE158">
        <v>7346</v>
      </c>
      <c r="AF158">
        <v>11144</v>
      </c>
      <c r="AG158">
        <v>8.9109999999999996</v>
      </c>
      <c r="AH158">
        <v>28236</v>
      </c>
      <c r="AI158">
        <v>0.48</v>
      </c>
      <c r="AJ158">
        <v>0.47</v>
      </c>
      <c r="AK158">
        <v>8.4094525832486597E-2</v>
      </c>
      <c r="AL158">
        <v>2.4117786602192499</v>
      </c>
      <c r="AM158">
        <v>31.833913052272401</v>
      </c>
      <c r="AN158">
        <v>1.4</v>
      </c>
      <c r="AO158">
        <v>23.79</v>
      </c>
      <c r="AP158">
        <v>8.51</v>
      </c>
      <c r="AQ158">
        <v>11.6</v>
      </c>
    </row>
    <row r="159" spans="1:43" x14ac:dyDescent="0.25">
      <c r="A159">
        <v>13767</v>
      </c>
      <c r="B159">
        <v>5276</v>
      </c>
      <c r="C159">
        <v>1108</v>
      </c>
      <c r="D159">
        <v>101</v>
      </c>
      <c r="E159">
        <v>441</v>
      </c>
      <c r="F159">
        <v>10992</v>
      </c>
      <c r="G159">
        <v>138</v>
      </c>
      <c r="H159">
        <v>105</v>
      </c>
      <c r="I159">
        <v>4217</v>
      </c>
      <c r="J159">
        <v>14.75</v>
      </c>
      <c r="K159">
        <v>23.42</v>
      </c>
      <c r="L159">
        <v>3.44</v>
      </c>
      <c r="M159">
        <v>7.01</v>
      </c>
      <c r="N159">
        <v>0.21</v>
      </c>
      <c r="O159">
        <v>0.91</v>
      </c>
      <c r="P159">
        <v>22.77</v>
      </c>
      <c r="Q159">
        <v>16.39</v>
      </c>
      <c r="R159">
        <v>11.02</v>
      </c>
      <c r="S159">
        <v>11.37</v>
      </c>
      <c r="T159">
        <v>12.86</v>
      </c>
      <c r="U159">
        <v>1.61</v>
      </c>
      <c r="V159">
        <v>30.36</v>
      </c>
      <c r="W159">
        <v>47.85</v>
      </c>
      <c r="X159">
        <v>151</v>
      </c>
      <c r="Y159">
        <v>103</v>
      </c>
      <c r="Z159">
        <v>1062</v>
      </c>
      <c r="AA159">
        <v>96</v>
      </c>
      <c r="AB159">
        <v>5549</v>
      </c>
      <c r="AC159">
        <v>1252</v>
      </c>
      <c r="AD159">
        <v>5806</v>
      </c>
      <c r="AE159">
        <v>7089</v>
      </c>
      <c r="AF159">
        <v>10647</v>
      </c>
      <c r="AG159">
        <v>9.6769999999999996</v>
      </c>
      <c r="AH159">
        <v>27589</v>
      </c>
      <c r="AI159">
        <v>0.44</v>
      </c>
      <c r="AJ159">
        <v>0.47</v>
      </c>
      <c r="AK159">
        <v>9.61762165588185E-2</v>
      </c>
      <c r="AL159">
        <v>2.1367613124370899</v>
      </c>
      <c r="AM159">
        <v>32.213239157057998</v>
      </c>
      <c r="AN159">
        <v>11</v>
      </c>
      <c r="AO159">
        <v>14.14</v>
      </c>
      <c r="AP159">
        <v>7.97</v>
      </c>
      <c r="AQ159">
        <v>10.86</v>
      </c>
    </row>
    <row r="160" spans="1:43" x14ac:dyDescent="0.25">
      <c r="A160">
        <v>12755</v>
      </c>
      <c r="B160">
        <v>5222</v>
      </c>
      <c r="C160">
        <v>1232</v>
      </c>
      <c r="D160">
        <v>13</v>
      </c>
      <c r="E160">
        <v>1222</v>
      </c>
      <c r="F160">
        <v>9783</v>
      </c>
      <c r="G160">
        <v>29</v>
      </c>
      <c r="H160">
        <v>22</v>
      </c>
      <c r="I160">
        <v>4409</v>
      </c>
      <c r="J160">
        <v>13.66</v>
      </c>
      <c r="K160">
        <v>23.18</v>
      </c>
      <c r="L160">
        <v>3.83</v>
      </c>
      <c r="M160">
        <v>7.33</v>
      </c>
      <c r="N160">
        <v>0.03</v>
      </c>
      <c r="O160">
        <v>2.5299999999999998</v>
      </c>
      <c r="P160">
        <v>20.260000000000002</v>
      </c>
      <c r="Q160">
        <v>16.22</v>
      </c>
      <c r="R160">
        <v>12.25</v>
      </c>
      <c r="S160">
        <v>12.06</v>
      </c>
      <c r="T160">
        <v>11.52</v>
      </c>
      <c r="U160">
        <v>0.31</v>
      </c>
      <c r="V160">
        <v>27.02</v>
      </c>
      <c r="W160">
        <v>49.17</v>
      </c>
      <c r="X160">
        <v>28</v>
      </c>
      <c r="Y160">
        <v>22</v>
      </c>
      <c r="Z160">
        <v>945</v>
      </c>
      <c r="AA160">
        <v>214</v>
      </c>
      <c r="AB160">
        <v>5459</v>
      </c>
      <c r="AC160">
        <v>1221</v>
      </c>
      <c r="AD160">
        <v>5880</v>
      </c>
      <c r="AE160">
        <v>7412</v>
      </c>
      <c r="AF160">
        <v>10763</v>
      </c>
      <c r="AG160">
        <v>10.305</v>
      </c>
      <c r="AH160">
        <v>27855</v>
      </c>
      <c r="AI160">
        <v>0.43</v>
      </c>
      <c r="AJ160">
        <v>0.47</v>
      </c>
      <c r="AK160">
        <v>7.1977432066986202E-2</v>
      </c>
      <c r="AL160">
        <v>0.65250854019060001</v>
      </c>
      <c r="AM160">
        <v>32.182933833159503</v>
      </c>
      <c r="AN160">
        <v>16.399999999999999</v>
      </c>
      <c r="AO160">
        <v>10.119999999999999</v>
      </c>
      <c r="AP160">
        <v>1.04</v>
      </c>
      <c r="AQ160">
        <v>1.42</v>
      </c>
    </row>
    <row r="161" spans="1:43" x14ac:dyDescent="0.25">
      <c r="A161">
        <v>12949</v>
      </c>
      <c r="B161">
        <v>2772</v>
      </c>
      <c r="C161">
        <v>1827</v>
      </c>
      <c r="D161">
        <v>234</v>
      </c>
      <c r="E161">
        <v>442</v>
      </c>
      <c r="F161">
        <v>11163</v>
      </c>
      <c r="G161">
        <v>1878</v>
      </c>
      <c r="H161">
        <v>1424</v>
      </c>
      <c r="I161">
        <v>1158</v>
      </c>
      <c r="J161">
        <v>13.87</v>
      </c>
      <c r="K161">
        <v>12.3</v>
      </c>
      <c r="L161">
        <v>5.68</v>
      </c>
      <c r="M161">
        <v>1.93</v>
      </c>
      <c r="N161">
        <v>0.49</v>
      </c>
      <c r="O161">
        <v>0.91</v>
      </c>
      <c r="P161">
        <v>23.12</v>
      </c>
      <c r="Q161">
        <v>8.61</v>
      </c>
      <c r="R161">
        <v>18.170000000000002</v>
      </c>
      <c r="S161">
        <v>16.34</v>
      </c>
      <c r="T161">
        <v>8.6999999999999993</v>
      </c>
      <c r="U161">
        <v>19</v>
      </c>
      <c r="V161">
        <v>30.83</v>
      </c>
      <c r="W161">
        <v>25.62</v>
      </c>
      <c r="X161">
        <v>1627</v>
      </c>
      <c r="Y161">
        <v>1410</v>
      </c>
      <c r="Z161">
        <v>1079</v>
      </c>
      <c r="AA161">
        <v>698</v>
      </c>
      <c r="AB161">
        <v>7039</v>
      </c>
      <c r="AC161">
        <v>964</v>
      </c>
      <c r="AD161">
        <v>5501</v>
      </c>
      <c r="AE161">
        <v>1947</v>
      </c>
      <c r="AF161">
        <v>4660</v>
      </c>
      <c r="AG161">
        <v>12.855</v>
      </c>
      <c r="AH161">
        <v>19354</v>
      </c>
      <c r="AI161">
        <v>0.48</v>
      </c>
      <c r="AJ161">
        <v>0.47</v>
      </c>
      <c r="AK161">
        <v>1.5030796988727E-2</v>
      </c>
      <c r="AL161">
        <v>2.5463413033506699</v>
      </c>
      <c r="AM161">
        <v>32.058125794693197</v>
      </c>
      <c r="AN161">
        <v>0.14000000000000001</v>
      </c>
      <c r="AO161">
        <v>24.81</v>
      </c>
      <c r="AP161">
        <v>3.95</v>
      </c>
      <c r="AQ161">
        <v>5.39</v>
      </c>
    </row>
    <row r="162" spans="1:43" x14ac:dyDescent="0.25">
      <c r="A162">
        <v>5847</v>
      </c>
      <c r="B162">
        <v>1199</v>
      </c>
      <c r="C162">
        <v>2449</v>
      </c>
      <c r="D162">
        <v>204</v>
      </c>
      <c r="E162">
        <v>549</v>
      </c>
      <c r="F162">
        <v>10460</v>
      </c>
      <c r="G162">
        <v>2507</v>
      </c>
      <c r="H162">
        <v>1900</v>
      </c>
      <c r="I162">
        <v>53</v>
      </c>
      <c r="J162">
        <v>6.26</v>
      </c>
      <c r="K162">
        <v>5.32</v>
      </c>
      <c r="L162">
        <v>7.61</v>
      </c>
      <c r="M162">
        <v>0.09</v>
      </c>
      <c r="N162">
        <v>0.42</v>
      </c>
      <c r="O162">
        <v>1.1399999999999999</v>
      </c>
      <c r="P162">
        <v>21.67</v>
      </c>
      <c r="Q162">
        <v>3.73</v>
      </c>
      <c r="R162">
        <v>24.35</v>
      </c>
      <c r="S162">
        <v>24.58</v>
      </c>
      <c r="T162">
        <v>2.25</v>
      </c>
      <c r="U162">
        <v>25.08</v>
      </c>
      <c r="V162">
        <v>28.89</v>
      </c>
      <c r="W162">
        <v>11.91</v>
      </c>
      <c r="X162">
        <v>2130</v>
      </c>
      <c r="Y162">
        <v>1884</v>
      </c>
      <c r="Z162">
        <v>1011</v>
      </c>
      <c r="AA162">
        <v>1582</v>
      </c>
      <c r="AB162">
        <v>7652</v>
      </c>
      <c r="AC162">
        <v>643</v>
      </c>
      <c r="AD162">
        <v>5511</v>
      </c>
      <c r="AE162">
        <v>89</v>
      </c>
      <c r="AF162">
        <v>1279</v>
      </c>
      <c r="AG162">
        <v>16.718</v>
      </c>
      <c r="AH162">
        <v>15139</v>
      </c>
      <c r="AI162">
        <v>0.52</v>
      </c>
      <c r="AJ162">
        <v>0.47</v>
      </c>
      <c r="AK162">
        <v>0.37000006346458703</v>
      </c>
      <c r="AL162">
        <v>0.19608269957153701</v>
      </c>
      <c r="AM162">
        <v>28.7202687448383</v>
      </c>
      <c r="AN162">
        <v>15.81</v>
      </c>
      <c r="AO162">
        <v>13.48</v>
      </c>
      <c r="AP162">
        <v>3.99</v>
      </c>
      <c r="AQ162">
        <v>5.43</v>
      </c>
    </row>
    <row r="163" spans="1:43" x14ac:dyDescent="0.25">
      <c r="A163">
        <v>5847</v>
      </c>
      <c r="B163">
        <v>1165</v>
      </c>
      <c r="C163">
        <v>2460</v>
      </c>
      <c r="D163">
        <v>204</v>
      </c>
      <c r="E163">
        <v>549</v>
      </c>
      <c r="F163">
        <v>10460</v>
      </c>
      <c r="G163">
        <v>2521</v>
      </c>
      <c r="H163">
        <v>1911</v>
      </c>
      <c r="I163">
        <v>28</v>
      </c>
      <c r="J163">
        <v>6.26</v>
      </c>
      <c r="K163">
        <v>5.17</v>
      </c>
      <c r="L163">
        <v>7.64</v>
      </c>
      <c r="M163">
        <v>0.05</v>
      </c>
      <c r="N163">
        <v>0.42</v>
      </c>
      <c r="O163">
        <v>1.1399999999999999</v>
      </c>
      <c r="P163">
        <v>21.67</v>
      </c>
      <c r="Q163">
        <v>3.62</v>
      </c>
      <c r="R163">
        <v>24.45</v>
      </c>
      <c r="S163">
        <v>24.71</v>
      </c>
      <c r="T163">
        <v>2.2400000000000002</v>
      </c>
      <c r="U163">
        <v>25.22</v>
      </c>
      <c r="V163">
        <v>28.89</v>
      </c>
      <c r="W163">
        <v>11.61</v>
      </c>
      <c r="X163">
        <v>2141</v>
      </c>
      <c r="Y163">
        <v>1895</v>
      </c>
      <c r="Z163">
        <v>1011</v>
      </c>
      <c r="AA163">
        <v>1591</v>
      </c>
      <c r="AB163">
        <v>7657</v>
      </c>
      <c r="AC163">
        <v>639</v>
      </c>
      <c r="AD163">
        <v>5510</v>
      </c>
      <c r="AE163">
        <v>47</v>
      </c>
      <c r="AF163">
        <v>1227</v>
      </c>
      <c r="AG163">
        <v>16.742000000000001</v>
      </c>
      <c r="AH163">
        <v>15062</v>
      </c>
      <c r="AI163">
        <v>0.52</v>
      </c>
      <c r="AJ163">
        <v>0.47</v>
      </c>
      <c r="AK163">
        <v>0.34445922332611401</v>
      </c>
      <c r="AL163">
        <v>0.99848502914363901</v>
      </c>
      <c r="AM163">
        <v>29.067174278627601</v>
      </c>
      <c r="AN163">
        <v>1.55</v>
      </c>
      <c r="AO163">
        <v>26.78</v>
      </c>
      <c r="AP163">
        <v>10.51</v>
      </c>
      <c r="AQ163">
        <v>14.32</v>
      </c>
    </row>
    <row r="164" spans="1:43" x14ac:dyDescent="0.25">
      <c r="A164">
        <v>14257</v>
      </c>
      <c r="B164">
        <v>5662</v>
      </c>
      <c r="C164">
        <v>687</v>
      </c>
      <c r="D164">
        <v>60</v>
      </c>
      <c r="E164">
        <v>807</v>
      </c>
      <c r="F164">
        <v>12111</v>
      </c>
      <c r="G164">
        <v>91</v>
      </c>
      <c r="H164">
        <v>69</v>
      </c>
      <c r="I164">
        <v>4300</v>
      </c>
      <c r="J164">
        <v>15.27</v>
      </c>
      <c r="K164">
        <v>25.13</v>
      </c>
      <c r="L164">
        <v>2.13</v>
      </c>
      <c r="M164">
        <v>7.15</v>
      </c>
      <c r="N164">
        <v>0.12</v>
      </c>
      <c r="O164">
        <v>1.67</v>
      </c>
      <c r="P164">
        <v>25.09</v>
      </c>
      <c r="Q164">
        <v>17.59</v>
      </c>
      <c r="R164">
        <v>6.83</v>
      </c>
      <c r="S164">
        <v>10.09</v>
      </c>
      <c r="T164">
        <v>14.99</v>
      </c>
      <c r="U164">
        <v>1.05</v>
      </c>
      <c r="V164">
        <v>33.450000000000003</v>
      </c>
      <c r="W164">
        <v>52.12</v>
      </c>
      <c r="X164">
        <v>97</v>
      </c>
      <c r="Y164">
        <v>69</v>
      </c>
      <c r="Z164">
        <v>1170</v>
      </c>
      <c r="AA164">
        <v>-115</v>
      </c>
      <c r="AB164">
        <v>5724</v>
      </c>
      <c r="AC164">
        <v>1320</v>
      </c>
      <c r="AD164">
        <v>5680</v>
      </c>
      <c r="AE164">
        <v>7228</v>
      </c>
      <c r="AF164">
        <v>10958</v>
      </c>
      <c r="AG164">
        <v>9.2230000000000008</v>
      </c>
      <c r="AH164">
        <v>28102</v>
      </c>
      <c r="AI164">
        <v>0.47</v>
      </c>
      <c r="AJ164">
        <v>0.48</v>
      </c>
      <c r="AK164">
        <v>1.9234354081412299E-2</v>
      </c>
      <c r="AL164">
        <v>1.2178457980061199</v>
      </c>
      <c r="AM164">
        <v>33.035432734691398</v>
      </c>
      <c r="AN164">
        <v>12.72</v>
      </c>
      <c r="AO164">
        <v>12.69</v>
      </c>
      <c r="AP164">
        <v>9.73</v>
      </c>
      <c r="AQ164">
        <v>13.26</v>
      </c>
    </row>
    <row r="165" spans="1:43" x14ac:dyDescent="0.25">
      <c r="A165">
        <v>11881</v>
      </c>
      <c r="B165">
        <v>4897</v>
      </c>
      <c r="C165">
        <v>893</v>
      </c>
      <c r="D165">
        <v>898</v>
      </c>
      <c r="E165">
        <v>589</v>
      </c>
      <c r="F165">
        <v>11648</v>
      </c>
      <c r="G165">
        <v>406</v>
      </c>
      <c r="H165">
        <v>308</v>
      </c>
      <c r="I165">
        <v>3746</v>
      </c>
      <c r="J165">
        <v>12.73</v>
      </c>
      <c r="K165">
        <v>21.74</v>
      </c>
      <c r="L165">
        <v>2.77</v>
      </c>
      <c r="M165">
        <v>6.23</v>
      </c>
      <c r="N165">
        <v>1.86</v>
      </c>
      <c r="O165">
        <v>1.22</v>
      </c>
      <c r="P165">
        <v>24.13</v>
      </c>
      <c r="Q165">
        <v>15.22</v>
      </c>
      <c r="R165">
        <v>8.8800000000000008</v>
      </c>
      <c r="S165">
        <v>11.52</v>
      </c>
      <c r="T165">
        <v>10.76</v>
      </c>
      <c r="U165">
        <v>6.29</v>
      </c>
      <c r="V165">
        <v>32.17</v>
      </c>
      <c r="W165">
        <v>44.83</v>
      </c>
      <c r="X165">
        <v>669</v>
      </c>
      <c r="Y165">
        <v>305</v>
      </c>
      <c r="Z165">
        <v>1126</v>
      </c>
      <c r="AA165">
        <v>229</v>
      </c>
      <c r="AB165">
        <v>6206</v>
      </c>
      <c r="AC165">
        <v>1191</v>
      </c>
      <c r="AD165">
        <v>5651</v>
      </c>
      <c r="AE165">
        <v>6297</v>
      </c>
      <c r="AF165">
        <v>9419</v>
      </c>
      <c r="AG165">
        <v>11.065</v>
      </c>
      <c r="AH165">
        <v>26318</v>
      </c>
      <c r="AI165">
        <v>0.42</v>
      </c>
      <c r="AJ165">
        <v>0.48</v>
      </c>
      <c r="AK165">
        <v>0.52446769870204601</v>
      </c>
      <c r="AL165">
        <v>1.5634508716069799</v>
      </c>
      <c r="AM165">
        <v>33.449563363748197</v>
      </c>
      <c r="AN165">
        <v>5.45</v>
      </c>
      <c r="AO165">
        <v>18.940000000000001</v>
      </c>
      <c r="AP165">
        <v>0.19</v>
      </c>
      <c r="AQ165">
        <v>0.26</v>
      </c>
    </row>
    <row r="166" spans="1:43" x14ac:dyDescent="0.25">
      <c r="A166">
        <v>13746</v>
      </c>
      <c r="B166">
        <v>3762</v>
      </c>
      <c r="C166">
        <v>1359</v>
      </c>
      <c r="D166">
        <v>32</v>
      </c>
      <c r="E166">
        <v>1032</v>
      </c>
      <c r="F166">
        <v>11538</v>
      </c>
      <c r="G166">
        <v>1492</v>
      </c>
      <c r="H166">
        <v>1131</v>
      </c>
      <c r="I166">
        <v>1837</v>
      </c>
      <c r="J166">
        <v>14.73</v>
      </c>
      <c r="K166">
        <v>16.7</v>
      </c>
      <c r="L166">
        <v>4.22</v>
      </c>
      <c r="M166">
        <v>3.06</v>
      </c>
      <c r="N166">
        <v>7.0000000000000007E-2</v>
      </c>
      <c r="O166">
        <v>2.14</v>
      </c>
      <c r="P166">
        <v>23.9</v>
      </c>
      <c r="Q166">
        <v>11.69</v>
      </c>
      <c r="R166">
        <v>13.51</v>
      </c>
      <c r="S166">
        <v>12.71</v>
      </c>
      <c r="T166">
        <v>10.64</v>
      </c>
      <c r="U166">
        <v>14.69</v>
      </c>
      <c r="V166">
        <v>31.87</v>
      </c>
      <c r="W166">
        <v>35.770000000000003</v>
      </c>
      <c r="X166">
        <v>1234</v>
      </c>
      <c r="Y166">
        <v>1120</v>
      </c>
      <c r="Z166">
        <v>1115</v>
      </c>
      <c r="AA166">
        <v>346</v>
      </c>
      <c r="AB166">
        <v>6914</v>
      </c>
      <c r="AC166">
        <v>1097</v>
      </c>
      <c r="AD166">
        <v>5468</v>
      </c>
      <c r="AE166">
        <v>3088</v>
      </c>
      <c r="AF166">
        <v>6186</v>
      </c>
      <c r="AG166">
        <v>11.872999999999999</v>
      </c>
      <c r="AH166">
        <v>21553</v>
      </c>
      <c r="AI166">
        <v>0.45</v>
      </c>
      <c r="AJ166">
        <v>0.48</v>
      </c>
      <c r="AK166">
        <v>1.1202178457009799</v>
      </c>
      <c r="AL166">
        <v>1.7677245258379899</v>
      </c>
      <c r="AM166">
        <v>31.705203403693702</v>
      </c>
      <c r="AN166">
        <v>15.26</v>
      </c>
      <c r="AO166">
        <v>9.7799999999999994</v>
      </c>
      <c r="AP166">
        <v>0.57999999999999996</v>
      </c>
      <c r="AQ166">
        <v>0.79</v>
      </c>
    </row>
    <row r="167" spans="1:43" x14ac:dyDescent="0.25">
      <c r="A167">
        <v>6662</v>
      </c>
      <c r="B167">
        <v>5279</v>
      </c>
      <c r="C167">
        <v>1018</v>
      </c>
      <c r="D167">
        <v>28</v>
      </c>
      <c r="E167">
        <v>284</v>
      </c>
      <c r="F167">
        <v>11653</v>
      </c>
      <c r="G167">
        <v>251</v>
      </c>
      <c r="H167">
        <v>190</v>
      </c>
      <c r="I167">
        <v>4019</v>
      </c>
      <c r="J167">
        <v>7.14</v>
      </c>
      <c r="K167">
        <v>23.43</v>
      </c>
      <c r="L167">
        <v>3.16</v>
      </c>
      <c r="M167">
        <v>6.69</v>
      </c>
      <c r="N167">
        <v>0.06</v>
      </c>
      <c r="O167">
        <v>0.59</v>
      </c>
      <c r="P167">
        <v>24.14</v>
      </c>
      <c r="Q167">
        <v>16.399999999999999</v>
      </c>
      <c r="R167">
        <v>10.119999999999999</v>
      </c>
      <c r="S167">
        <v>12.1</v>
      </c>
      <c r="T167">
        <v>6.6</v>
      </c>
      <c r="U167">
        <v>2.5299999999999998</v>
      </c>
      <c r="V167">
        <v>32.18</v>
      </c>
      <c r="W167">
        <v>47.51</v>
      </c>
      <c r="X167">
        <v>216</v>
      </c>
      <c r="Y167">
        <v>189</v>
      </c>
      <c r="Z167">
        <v>1126</v>
      </c>
      <c r="AA167">
        <v>487</v>
      </c>
      <c r="AB167">
        <v>6126</v>
      </c>
      <c r="AC167">
        <v>1115</v>
      </c>
      <c r="AD167">
        <v>5741</v>
      </c>
      <c r="AE167">
        <v>6756</v>
      </c>
      <c r="AF167">
        <v>9259</v>
      </c>
      <c r="AG167">
        <v>12.260999999999999</v>
      </c>
      <c r="AH167">
        <v>26372</v>
      </c>
      <c r="AI167">
        <v>0.35</v>
      </c>
      <c r="AJ167">
        <v>0.48</v>
      </c>
      <c r="AK167">
        <v>0.25273608908533501</v>
      </c>
      <c r="AL167">
        <v>2.21452191496968</v>
      </c>
      <c r="AM167">
        <v>30.564050852051501</v>
      </c>
      <c r="AN167">
        <v>11.84</v>
      </c>
      <c r="AO167">
        <v>14.35</v>
      </c>
      <c r="AP167">
        <v>9.84</v>
      </c>
      <c r="AQ167">
        <v>13.41</v>
      </c>
    </row>
    <row r="168" spans="1:43" x14ac:dyDescent="0.25">
      <c r="A168">
        <v>14653</v>
      </c>
      <c r="B168">
        <v>1964</v>
      </c>
      <c r="C168">
        <v>2299</v>
      </c>
      <c r="D168">
        <v>61</v>
      </c>
      <c r="E168">
        <v>868</v>
      </c>
      <c r="F168">
        <v>9855</v>
      </c>
      <c r="G168">
        <v>2527</v>
      </c>
      <c r="H168">
        <v>1915</v>
      </c>
      <c r="I168">
        <v>18</v>
      </c>
      <c r="J168">
        <v>15.7</v>
      </c>
      <c r="K168">
        <v>8.7200000000000006</v>
      </c>
      <c r="L168">
        <v>7.14</v>
      </c>
      <c r="M168">
        <v>0.03</v>
      </c>
      <c r="N168">
        <v>0.13</v>
      </c>
      <c r="O168">
        <v>1.8</v>
      </c>
      <c r="P168">
        <v>20.41</v>
      </c>
      <c r="Q168">
        <v>6.1</v>
      </c>
      <c r="R168">
        <v>22.86</v>
      </c>
      <c r="S168">
        <v>18.600000000000001</v>
      </c>
      <c r="T168">
        <v>9.6199999999999992</v>
      </c>
      <c r="U168">
        <v>24.9</v>
      </c>
      <c r="V168">
        <v>27.22</v>
      </c>
      <c r="W168">
        <v>19.43</v>
      </c>
      <c r="X168">
        <v>2092</v>
      </c>
      <c r="Y168">
        <v>1898</v>
      </c>
      <c r="Z168">
        <v>952</v>
      </c>
      <c r="AA168">
        <v>806</v>
      </c>
      <c r="AB168">
        <v>7442</v>
      </c>
      <c r="AC168">
        <v>898</v>
      </c>
      <c r="AD168">
        <v>5457</v>
      </c>
      <c r="AE168">
        <v>30</v>
      </c>
      <c r="AF168">
        <v>2752</v>
      </c>
      <c r="AG168">
        <v>13.599</v>
      </c>
      <c r="AH168">
        <v>16568</v>
      </c>
      <c r="AI168">
        <v>0.55000000000000004</v>
      </c>
      <c r="AJ168">
        <v>0.48</v>
      </c>
      <c r="AK168">
        <v>5.4092479984321901E-2</v>
      </c>
      <c r="AL168">
        <v>2.2199392039191301</v>
      </c>
      <c r="AM168">
        <v>33.090971450394498</v>
      </c>
      <c r="AN168">
        <v>12.39</v>
      </c>
      <c r="AO168">
        <v>12.05</v>
      </c>
      <c r="AP168">
        <v>1.66</v>
      </c>
      <c r="AQ168">
        <v>2.2599999999999998</v>
      </c>
    </row>
    <row r="169" spans="1:43" x14ac:dyDescent="0.25">
      <c r="A169">
        <v>13050</v>
      </c>
      <c r="B169">
        <v>1992</v>
      </c>
      <c r="C169">
        <v>2687</v>
      </c>
      <c r="D169">
        <v>12</v>
      </c>
      <c r="E169">
        <v>208</v>
      </c>
      <c r="F169">
        <v>8662</v>
      </c>
      <c r="G169">
        <v>2520</v>
      </c>
      <c r="H169">
        <v>1910</v>
      </c>
      <c r="I169">
        <v>30</v>
      </c>
      <c r="J169">
        <v>13.98</v>
      </c>
      <c r="K169">
        <v>8.84</v>
      </c>
      <c r="L169">
        <v>8.35</v>
      </c>
      <c r="M169">
        <v>0.05</v>
      </c>
      <c r="N169">
        <v>0.02</v>
      </c>
      <c r="O169">
        <v>0.43</v>
      </c>
      <c r="P169">
        <v>17.940000000000001</v>
      </c>
      <c r="Q169">
        <v>6.19</v>
      </c>
      <c r="R169">
        <v>26.71</v>
      </c>
      <c r="S169">
        <v>19.84</v>
      </c>
      <c r="T169">
        <v>8.0500000000000007</v>
      </c>
      <c r="U169">
        <v>24.7</v>
      </c>
      <c r="V169">
        <v>23.92</v>
      </c>
      <c r="W169">
        <v>18.16</v>
      </c>
      <c r="X169">
        <v>2068</v>
      </c>
      <c r="Y169">
        <v>1893</v>
      </c>
      <c r="Z169">
        <v>837</v>
      </c>
      <c r="AA169">
        <v>971</v>
      </c>
      <c r="AB169">
        <v>7352</v>
      </c>
      <c r="AC169">
        <v>849</v>
      </c>
      <c r="AD169">
        <v>5586</v>
      </c>
      <c r="AE169">
        <v>50</v>
      </c>
      <c r="AF169">
        <v>2571</v>
      </c>
      <c r="AG169">
        <v>14.26</v>
      </c>
      <c r="AH169">
        <v>16389</v>
      </c>
      <c r="AI169">
        <v>0.53</v>
      </c>
      <c r="AJ169">
        <v>0.48</v>
      </c>
      <c r="AK169">
        <v>0.29476165093805701</v>
      </c>
      <c r="AL169">
        <v>3.30538077943676</v>
      </c>
      <c r="AM169">
        <v>31.840974693581501</v>
      </c>
      <c r="AN169">
        <v>12.68</v>
      </c>
      <c r="AO169">
        <v>11.53</v>
      </c>
      <c r="AP169">
        <v>1.1399999999999999</v>
      </c>
      <c r="AQ169">
        <v>1.56</v>
      </c>
    </row>
    <row r="170" spans="1:43" x14ac:dyDescent="0.25">
      <c r="A170">
        <v>13733</v>
      </c>
      <c r="B170">
        <v>4492</v>
      </c>
      <c r="C170">
        <v>1049</v>
      </c>
      <c r="D170">
        <v>147</v>
      </c>
      <c r="E170">
        <v>731</v>
      </c>
      <c r="F170">
        <v>12117</v>
      </c>
      <c r="G170">
        <v>1109</v>
      </c>
      <c r="H170">
        <v>841</v>
      </c>
      <c r="I170">
        <v>2510</v>
      </c>
      <c r="J170">
        <v>14.71</v>
      </c>
      <c r="K170">
        <v>19.940000000000001</v>
      </c>
      <c r="L170">
        <v>3.26</v>
      </c>
      <c r="M170">
        <v>4.18</v>
      </c>
      <c r="N170">
        <v>0.3</v>
      </c>
      <c r="O170">
        <v>1.51</v>
      </c>
      <c r="P170">
        <v>25.1</v>
      </c>
      <c r="Q170">
        <v>13.96</v>
      </c>
      <c r="R170">
        <v>10.43</v>
      </c>
      <c r="S170">
        <v>11</v>
      </c>
      <c r="T170">
        <v>12</v>
      </c>
      <c r="U170">
        <v>11.25</v>
      </c>
      <c r="V170">
        <v>33.46</v>
      </c>
      <c r="W170">
        <v>41.56</v>
      </c>
      <c r="X170">
        <v>964</v>
      </c>
      <c r="Y170">
        <v>834</v>
      </c>
      <c r="Z170">
        <v>1171</v>
      </c>
      <c r="AA170">
        <v>146</v>
      </c>
      <c r="AB170">
        <v>6711</v>
      </c>
      <c r="AC170">
        <v>1182</v>
      </c>
      <c r="AD170">
        <v>5484</v>
      </c>
      <c r="AE170">
        <v>4219</v>
      </c>
      <c r="AF170">
        <v>7536</v>
      </c>
      <c r="AG170">
        <v>11.092000000000001</v>
      </c>
      <c r="AH170">
        <v>23493</v>
      </c>
      <c r="AI170">
        <v>0.45</v>
      </c>
      <c r="AJ170">
        <v>0.49</v>
      </c>
      <c r="AK170">
        <v>9.8966841784158002E-2</v>
      </c>
      <c r="AL170">
        <v>1.3223619450316699</v>
      </c>
      <c r="AM170">
        <v>33.781321291600797</v>
      </c>
      <c r="AN170">
        <v>22.38</v>
      </c>
      <c r="AO170">
        <v>2.31</v>
      </c>
      <c r="AP170">
        <v>0.22</v>
      </c>
      <c r="AQ170">
        <v>0.3</v>
      </c>
    </row>
    <row r="171" spans="1:43" x14ac:dyDescent="0.25">
      <c r="A171">
        <v>8047</v>
      </c>
      <c r="B171">
        <v>5654</v>
      </c>
      <c r="C171">
        <v>739</v>
      </c>
      <c r="D171">
        <v>61</v>
      </c>
      <c r="E171">
        <v>888</v>
      </c>
      <c r="F171">
        <v>11789</v>
      </c>
      <c r="G171">
        <v>14</v>
      </c>
      <c r="H171">
        <v>10</v>
      </c>
      <c r="I171">
        <v>4436</v>
      </c>
      <c r="J171">
        <v>8.6199999999999992</v>
      </c>
      <c r="K171">
        <v>25.1</v>
      </c>
      <c r="L171">
        <v>2.2999999999999998</v>
      </c>
      <c r="M171">
        <v>7.38</v>
      </c>
      <c r="N171">
        <v>0.13</v>
      </c>
      <c r="O171">
        <v>1.84</v>
      </c>
      <c r="P171">
        <v>24.42</v>
      </c>
      <c r="Q171">
        <v>17.57</v>
      </c>
      <c r="R171">
        <v>7.35</v>
      </c>
      <c r="S171">
        <v>11.12</v>
      </c>
      <c r="T171">
        <v>8.9499999999999993</v>
      </c>
      <c r="U171">
        <v>0.28999999999999998</v>
      </c>
      <c r="V171">
        <v>32.56</v>
      </c>
      <c r="W171">
        <v>52.24</v>
      </c>
      <c r="X171">
        <v>33</v>
      </c>
      <c r="Y171">
        <v>11</v>
      </c>
      <c r="Z171">
        <v>1139</v>
      </c>
      <c r="AA171">
        <v>284</v>
      </c>
      <c r="AB171">
        <v>5981</v>
      </c>
      <c r="AC171">
        <v>1193</v>
      </c>
      <c r="AD171">
        <v>5722</v>
      </c>
      <c r="AE171">
        <v>7457</v>
      </c>
      <c r="AF171">
        <v>10245</v>
      </c>
      <c r="AG171">
        <v>11.49</v>
      </c>
      <c r="AH171">
        <v>27701</v>
      </c>
      <c r="AI171">
        <v>0.37</v>
      </c>
      <c r="AJ171">
        <v>0.49</v>
      </c>
      <c r="AK171">
        <v>4.7120885908452899E-3</v>
      </c>
      <c r="AL171">
        <v>3.5116666779761001</v>
      </c>
      <c r="AM171">
        <v>31.2318651177489</v>
      </c>
      <c r="AN171">
        <v>4.74</v>
      </c>
      <c r="AO171">
        <v>19.97</v>
      </c>
      <c r="AP171">
        <v>7.44</v>
      </c>
      <c r="AQ171">
        <v>10.14</v>
      </c>
    </row>
    <row r="172" spans="1:43" x14ac:dyDescent="0.25">
      <c r="A172">
        <v>14410</v>
      </c>
      <c r="B172">
        <v>3302</v>
      </c>
      <c r="C172">
        <v>1423</v>
      </c>
      <c r="D172">
        <v>3</v>
      </c>
      <c r="E172">
        <v>969</v>
      </c>
      <c r="F172">
        <v>12014</v>
      </c>
      <c r="G172">
        <v>1908</v>
      </c>
      <c r="H172">
        <v>1446</v>
      </c>
      <c r="I172">
        <v>1106</v>
      </c>
      <c r="J172">
        <v>15.44</v>
      </c>
      <c r="K172">
        <v>14.66</v>
      </c>
      <c r="L172">
        <v>4.42</v>
      </c>
      <c r="M172">
        <v>1.84</v>
      </c>
      <c r="N172">
        <v>0.01</v>
      </c>
      <c r="O172">
        <v>2.0099999999999998</v>
      </c>
      <c r="P172">
        <v>24.88</v>
      </c>
      <c r="Q172">
        <v>10.26</v>
      </c>
      <c r="R172">
        <v>14.14</v>
      </c>
      <c r="S172">
        <v>13.23</v>
      </c>
      <c r="T172">
        <v>10.84</v>
      </c>
      <c r="U172">
        <v>18.690000000000001</v>
      </c>
      <c r="V172">
        <v>33.18</v>
      </c>
      <c r="W172">
        <v>31.54</v>
      </c>
      <c r="X172">
        <v>1563</v>
      </c>
      <c r="Y172">
        <v>1434</v>
      </c>
      <c r="Z172">
        <v>1161</v>
      </c>
      <c r="AA172">
        <v>379</v>
      </c>
      <c r="AB172">
        <v>7271</v>
      </c>
      <c r="AC172">
        <v>1064</v>
      </c>
      <c r="AD172">
        <v>5360</v>
      </c>
      <c r="AE172">
        <v>1859</v>
      </c>
      <c r="AF172">
        <v>4933</v>
      </c>
      <c r="AG172">
        <v>12.166</v>
      </c>
      <c r="AH172">
        <v>19765</v>
      </c>
      <c r="AI172">
        <v>0.48</v>
      </c>
      <c r="AJ172">
        <v>0.49</v>
      </c>
      <c r="AK172">
        <v>0.86664906691726995</v>
      </c>
      <c r="AL172">
        <v>1.6228721917012101</v>
      </c>
      <c r="AM172">
        <v>32.318937471700899</v>
      </c>
      <c r="AN172">
        <v>13.29</v>
      </c>
      <c r="AO172">
        <v>11.62</v>
      </c>
      <c r="AP172">
        <v>0.49</v>
      </c>
      <c r="AQ172">
        <v>0.67</v>
      </c>
    </row>
    <row r="173" spans="1:43" x14ac:dyDescent="0.25">
      <c r="A173">
        <v>14358</v>
      </c>
      <c r="B173">
        <v>3302</v>
      </c>
      <c r="C173">
        <v>1423</v>
      </c>
      <c r="D173">
        <v>3</v>
      </c>
      <c r="E173">
        <v>970</v>
      </c>
      <c r="F173">
        <v>12012</v>
      </c>
      <c r="G173">
        <v>1924</v>
      </c>
      <c r="H173">
        <v>1458</v>
      </c>
      <c r="I173">
        <v>1078</v>
      </c>
      <c r="J173">
        <v>15.38</v>
      </c>
      <c r="K173">
        <v>14.66</v>
      </c>
      <c r="L173">
        <v>4.42</v>
      </c>
      <c r="M173">
        <v>1.79</v>
      </c>
      <c r="N173">
        <v>0.01</v>
      </c>
      <c r="O173">
        <v>2.0099999999999998</v>
      </c>
      <c r="P173">
        <v>24.88</v>
      </c>
      <c r="Q173">
        <v>10.26</v>
      </c>
      <c r="R173">
        <v>14.14</v>
      </c>
      <c r="S173">
        <v>13.2</v>
      </c>
      <c r="T173">
        <v>10.8</v>
      </c>
      <c r="U173">
        <v>18.84</v>
      </c>
      <c r="V173">
        <v>33.17</v>
      </c>
      <c r="W173">
        <v>31.55</v>
      </c>
      <c r="X173">
        <v>1576</v>
      </c>
      <c r="Y173">
        <v>1445</v>
      </c>
      <c r="Z173">
        <v>1161</v>
      </c>
      <c r="AA173">
        <v>379</v>
      </c>
      <c r="AB173">
        <v>7295</v>
      </c>
      <c r="AC173">
        <v>1063</v>
      </c>
      <c r="AD173">
        <v>5355</v>
      </c>
      <c r="AE173">
        <v>1812</v>
      </c>
      <c r="AF173">
        <v>4877</v>
      </c>
      <c r="AG173">
        <v>12.209</v>
      </c>
      <c r="AH173">
        <v>19698</v>
      </c>
      <c r="AI173">
        <v>0.48</v>
      </c>
      <c r="AJ173">
        <v>0.49</v>
      </c>
      <c r="AK173">
        <v>0.109766647545243</v>
      </c>
      <c r="AL173">
        <v>1.96688030693231</v>
      </c>
      <c r="AM173">
        <v>31.613077170325599</v>
      </c>
      <c r="AN173">
        <v>13.85</v>
      </c>
      <c r="AO173">
        <v>11.88</v>
      </c>
      <c r="AP173">
        <v>0.34</v>
      </c>
      <c r="AQ173">
        <v>0.47</v>
      </c>
    </row>
    <row r="174" spans="1:43" x14ac:dyDescent="0.25">
      <c r="A174">
        <v>6683</v>
      </c>
      <c r="B174">
        <v>5318</v>
      </c>
      <c r="C174">
        <v>1006</v>
      </c>
      <c r="D174">
        <v>90</v>
      </c>
      <c r="E174">
        <v>77</v>
      </c>
      <c r="F174">
        <v>11796</v>
      </c>
      <c r="G174">
        <v>493</v>
      </c>
      <c r="H174">
        <v>374</v>
      </c>
      <c r="I174">
        <v>3593</v>
      </c>
      <c r="J174">
        <v>7.16</v>
      </c>
      <c r="K174">
        <v>23.6</v>
      </c>
      <c r="L174">
        <v>3.12</v>
      </c>
      <c r="M174">
        <v>5.98</v>
      </c>
      <c r="N174">
        <v>0.19</v>
      </c>
      <c r="O174">
        <v>0.16</v>
      </c>
      <c r="P174">
        <v>24.43</v>
      </c>
      <c r="Q174">
        <v>16.52</v>
      </c>
      <c r="R174">
        <v>10</v>
      </c>
      <c r="S174">
        <v>11.5</v>
      </c>
      <c r="T174">
        <v>6.94</v>
      </c>
      <c r="U174">
        <v>5.0599999999999996</v>
      </c>
      <c r="V174">
        <v>32.58</v>
      </c>
      <c r="W174">
        <v>47.39</v>
      </c>
      <c r="X174">
        <v>438</v>
      </c>
      <c r="Y174">
        <v>370</v>
      </c>
      <c r="Z174">
        <v>1140</v>
      </c>
      <c r="AA174">
        <v>433</v>
      </c>
      <c r="AB174">
        <v>6478</v>
      </c>
      <c r="AC174">
        <v>1120</v>
      </c>
      <c r="AD174">
        <v>5661</v>
      </c>
      <c r="AE174">
        <v>6040</v>
      </c>
      <c r="AF174">
        <v>8565</v>
      </c>
      <c r="AG174">
        <v>12.574</v>
      </c>
      <c r="AH174">
        <v>25517</v>
      </c>
      <c r="AI174">
        <v>0.35</v>
      </c>
      <c r="AJ174">
        <v>0.49</v>
      </c>
      <c r="AK174">
        <v>0.380768664105818</v>
      </c>
      <c r="AL174">
        <v>1.68209128461944</v>
      </c>
      <c r="AM174">
        <v>33.464027579504602</v>
      </c>
      <c r="AN174">
        <v>4.33</v>
      </c>
      <c r="AO174">
        <v>20.05</v>
      </c>
      <c r="AP174">
        <v>4.7</v>
      </c>
      <c r="AQ174">
        <v>6.4</v>
      </c>
    </row>
    <row r="175" spans="1:43" x14ac:dyDescent="0.25">
      <c r="A175">
        <v>5925</v>
      </c>
      <c r="B175">
        <v>5141</v>
      </c>
      <c r="C175">
        <v>1096</v>
      </c>
      <c r="D175">
        <v>33</v>
      </c>
      <c r="E175">
        <v>1064</v>
      </c>
      <c r="F175">
        <v>10698</v>
      </c>
      <c r="G175">
        <v>278</v>
      </c>
      <c r="H175">
        <v>211</v>
      </c>
      <c r="I175">
        <v>3971</v>
      </c>
      <c r="J175">
        <v>6.35</v>
      </c>
      <c r="K175">
        <v>22.82</v>
      </c>
      <c r="L175">
        <v>3.41</v>
      </c>
      <c r="M175">
        <v>6.61</v>
      </c>
      <c r="N175">
        <v>7.0000000000000007E-2</v>
      </c>
      <c r="O175">
        <v>2.2000000000000002</v>
      </c>
      <c r="P175">
        <v>22.16</v>
      </c>
      <c r="Q175">
        <v>15.97</v>
      </c>
      <c r="R175">
        <v>10.9</v>
      </c>
      <c r="S175">
        <v>12.69</v>
      </c>
      <c r="T175">
        <v>5.63</v>
      </c>
      <c r="U175">
        <v>2.81</v>
      </c>
      <c r="V175">
        <v>29.54</v>
      </c>
      <c r="W175">
        <v>48.08</v>
      </c>
      <c r="X175">
        <v>240</v>
      </c>
      <c r="Y175">
        <v>208</v>
      </c>
      <c r="Z175">
        <v>1034</v>
      </c>
      <c r="AA175">
        <v>581</v>
      </c>
      <c r="AB175">
        <v>6220</v>
      </c>
      <c r="AC175">
        <v>1083</v>
      </c>
      <c r="AD175">
        <v>5758</v>
      </c>
      <c r="AE175">
        <v>6675</v>
      </c>
      <c r="AF175">
        <v>8986</v>
      </c>
      <c r="AG175">
        <v>12.989000000000001</v>
      </c>
      <c r="AH175">
        <v>26129</v>
      </c>
      <c r="AI175">
        <v>0.34</v>
      </c>
      <c r="AJ175">
        <v>0.49</v>
      </c>
      <c r="AK175">
        <v>2.0855758530390501E-2</v>
      </c>
      <c r="AL175">
        <v>1.73690629389796</v>
      </c>
      <c r="AM175">
        <v>33.6330143870222</v>
      </c>
      <c r="AN175">
        <v>6.61</v>
      </c>
      <c r="AO175">
        <v>17.88</v>
      </c>
      <c r="AP175">
        <v>0.05</v>
      </c>
      <c r="AQ175">
        <v>7.0000000000000007E-2</v>
      </c>
    </row>
    <row r="176" spans="1:43" x14ac:dyDescent="0.25">
      <c r="A176">
        <v>10990</v>
      </c>
      <c r="B176">
        <v>2388</v>
      </c>
      <c r="C176">
        <v>1885</v>
      </c>
      <c r="D176">
        <v>2</v>
      </c>
      <c r="E176">
        <v>813</v>
      </c>
      <c r="F176">
        <v>11325</v>
      </c>
      <c r="G176">
        <v>2383</v>
      </c>
      <c r="H176">
        <v>1807</v>
      </c>
      <c r="I176">
        <v>270</v>
      </c>
      <c r="J176">
        <v>11.77</v>
      </c>
      <c r="K176">
        <v>10.6</v>
      </c>
      <c r="L176">
        <v>5.86</v>
      </c>
      <c r="M176">
        <v>0.45</v>
      </c>
      <c r="N176">
        <v>0</v>
      </c>
      <c r="O176">
        <v>1.68</v>
      </c>
      <c r="P176">
        <v>23.46</v>
      </c>
      <c r="Q176">
        <v>7.42</v>
      </c>
      <c r="R176">
        <v>18.739999999999998</v>
      </c>
      <c r="S176">
        <v>17.010000000000002</v>
      </c>
      <c r="T176">
        <v>6.86</v>
      </c>
      <c r="U176">
        <v>23.34</v>
      </c>
      <c r="V176">
        <v>31.28</v>
      </c>
      <c r="W176">
        <v>23.07</v>
      </c>
      <c r="X176">
        <v>1952</v>
      </c>
      <c r="Y176">
        <v>1791</v>
      </c>
      <c r="Z176">
        <v>1094</v>
      </c>
      <c r="AA176">
        <v>851</v>
      </c>
      <c r="AB176">
        <v>7695</v>
      </c>
      <c r="AC176">
        <v>886</v>
      </c>
      <c r="AD176">
        <v>5363</v>
      </c>
      <c r="AE176">
        <v>454</v>
      </c>
      <c r="AF176">
        <v>2757</v>
      </c>
      <c r="AG176">
        <v>14.337999999999999</v>
      </c>
      <c r="AH176">
        <v>16979</v>
      </c>
      <c r="AI176">
        <v>0.47</v>
      </c>
      <c r="AJ176">
        <v>0.49</v>
      </c>
      <c r="AK176">
        <v>1.06516921768984</v>
      </c>
      <c r="AL176">
        <v>0.98303931195447702</v>
      </c>
      <c r="AM176">
        <v>32.684794112453297</v>
      </c>
      <c r="AN176">
        <v>2.92</v>
      </c>
      <c r="AO176">
        <v>22.13</v>
      </c>
      <c r="AP176">
        <v>1.06</v>
      </c>
      <c r="AQ176">
        <v>1.45</v>
      </c>
    </row>
    <row r="177" spans="1:43" x14ac:dyDescent="0.25">
      <c r="A177">
        <v>13050</v>
      </c>
      <c r="B177">
        <v>2027</v>
      </c>
      <c r="C177">
        <v>2676</v>
      </c>
      <c r="D177">
        <v>12</v>
      </c>
      <c r="E177">
        <v>744</v>
      </c>
      <c r="F177">
        <v>8126</v>
      </c>
      <c r="G177">
        <v>2520</v>
      </c>
      <c r="H177">
        <v>1910</v>
      </c>
      <c r="I177">
        <v>30</v>
      </c>
      <c r="J177">
        <v>13.98</v>
      </c>
      <c r="K177">
        <v>9</v>
      </c>
      <c r="L177">
        <v>8.31</v>
      </c>
      <c r="M177">
        <v>0.05</v>
      </c>
      <c r="N177">
        <v>0.02</v>
      </c>
      <c r="O177">
        <v>1.54</v>
      </c>
      <c r="P177">
        <v>16.829999999999998</v>
      </c>
      <c r="Q177">
        <v>6.3</v>
      </c>
      <c r="R177">
        <v>26.61</v>
      </c>
      <c r="S177">
        <v>19.68</v>
      </c>
      <c r="T177">
        <v>8.07</v>
      </c>
      <c r="U177">
        <v>24.7</v>
      </c>
      <c r="V177">
        <v>22.44</v>
      </c>
      <c r="W177">
        <v>19.7</v>
      </c>
      <c r="X177">
        <v>2068</v>
      </c>
      <c r="Y177">
        <v>1893</v>
      </c>
      <c r="Z177">
        <v>785</v>
      </c>
      <c r="AA177">
        <v>960</v>
      </c>
      <c r="AB177">
        <v>7422</v>
      </c>
      <c r="AC177">
        <v>853</v>
      </c>
      <c r="AD177">
        <v>5583</v>
      </c>
      <c r="AE177">
        <v>50</v>
      </c>
      <c r="AF177">
        <v>2552</v>
      </c>
      <c r="AG177">
        <v>14.51</v>
      </c>
      <c r="AH177">
        <v>16441</v>
      </c>
      <c r="AI177">
        <v>0.53</v>
      </c>
      <c r="AJ177">
        <v>0.49</v>
      </c>
      <c r="AK177">
        <v>7.1116338264222506E-2</v>
      </c>
      <c r="AL177">
        <v>2.1947894294776198</v>
      </c>
      <c r="AM177">
        <v>32.804662259372897</v>
      </c>
      <c r="AN177">
        <v>14.48</v>
      </c>
      <c r="AO177">
        <v>10.18</v>
      </c>
      <c r="AP177">
        <v>0.37</v>
      </c>
      <c r="AQ177">
        <v>0.51</v>
      </c>
    </row>
    <row r="178" spans="1:43" x14ac:dyDescent="0.25">
      <c r="A178">
        <v>13727</v>
      </c>
      <c r="B178">
        <v>5087</v>
      </c>
      <c r="C178">
        <v>1356</v>
      </c>
      <c r="D178">
        <v>143</v>
      </c>
      <c r="E178">
        <v>85</v>
      </c>
      <c r="F178">
        <v>10399</v>
      </c>
      <c r="G178">
        <v>962</v>
      </c>
      <c r="H178">
        <v>729</v>
      </c>
      <c r="I178">
        <v>2769</v>
      </c>
      <c r="J178">
        <v>14.71</v>
      </c>
      <c r="K178">
        <v>22.58</v>
      </c>
      <c r="L178">
        <v>4.21</v>
      </c>
      <c r="M178">
        <v>4.6100000000000003</v>
      </c>
      <c r="N178">
        <v>0.3</v>
      </c>
      <c r="O178">
        <v>0.18</v>
      </c>
      <c r="P178">
        <v>21.54</v>
      </c>
      <c r="Q178">
        <v>15.81</v>
      </c>
      <c r="R178">
        <v>13.48</v>
      </c>
      <c r="S178">
        <v>10.45</v>
      </c>
      <c r="T178">
        <v>12.69</v>
      </c>
      <c r="U178">
        <v>9.7899999999999991</v>
      </c>
      <c r="V178">
        <v>28.72</v>
      </c>
      <c r="W178">
        <v>45.36</v>
      </c>
      <c r="X178">
        <v>841</v>
      </c>
      <c r="Y178">
        <v>723</v>
      </c>
      <c r="Z178">
        <v>1005</v>
      </c>
      <c r="AA178">
        <v>65</v>
      </c>
      <c r="AB178">
        <v>6556</v>
      </c>
      <c r="AC178">
        <v>1221</v>
      </c>
      <c r="AD178">
        <v>5632</v>
      </c>
      <c r="AE178">
        <v>4655</v>
      </c>
      <c r="AF178">
        <v>8166</v>
      </c>
      <c r="AG178">
        <v>11.052</v>
      </c>
      <c r="AH178">
        <v>24421</v>
      </c>
      <c r="AI178">
        <v>0.44</v>
      </c>
      <c r="AJ178">
        <v>0.5</v>
      </c>
      <c r="AK178">
        <v>0.59442131798095699</v>
      </c>
      <c r="AL178">
        <v>2.7870974464101401</v>
      </c>
      <c r="AM178">
        <v>31.096303364242502</v>
      </c>
      <c r="AN178">
        <v>0.13</v>
      </c>
      <c r="AO178">
        <v>24.86</v>
      </c>
      <c r="AP178">
        <v>10.47</v>
      </c>
      <c r="AQ178">
        <v>14.26</v>
      </c>
    </row>
    <row r="179" spans="1:43" x14ac:dyDescent="0.25">
      <c r="A179">
        <v>14358</v>
      </c>
      <c r="B179">
        <v>3539</v>
      </c>
      <c r="C179">
        <v>1423</v>
      </c>
      <c r="D179">
        <v>37</v>
      </c>
      <c r="E179">
        <v>928</v>
      </c>
      <c r="F179">
        <v>11664</v>
      </c>
      <c r="G179">
        <v>1924</v>
      </c>
      <c r="H179">
        <v>1458</v>
      </c>
      <c r="I179">
        <v>1078</v>
      </c>
      <c r="J179">
        <v>15.38</v>
      </c>
      <c r="K179">
        <v>15.71</v>
      </c>
      <c r="L179">
        <v>4.42</v>
      </c>
      <c r="M179">
        <v>1.79</v>
      </c>
      <c r="N179">
        <v>0.08</v>
      </c>
      <c r="O179">
        <v>1.92</v>
      </c>
      <c r="P179">
        <v>24.16</v>
      </c>
      <c r="Q179">
        <v>11</v>
      </c>
      <c r="R179">
        <v>14.14</v>
      </c>
      <c r="S179">
        <v>12.45</v>
      </c>
      <c r="T179">
        <v>11.1</v>
      </c>
      <c r="U179">
        <v>18.93</v>
      </c>
      <c r="V179">
        <v>32.21</v>
      </c>
      <c r="W179">
        <v>33.549999999999997</v>
      </c>
      <c r="X179">
        <v>1589</v>
      </c>
      <c r="Y179">
        <v>1445</v>
      </c>
      <c r="Z179">
        <v>1127</v>
      </c>
      <c r="AA179">
        <v>313</v>
      </c>
      <c r="AB179">
        <v>7381</v>
      </c>
      <c r="AC179">
        <v>1086</v>
      </c>
      <c r="AD179">
        <v>5355</v>
      </c>
      <c r="AE179">
        <v>1812</v>
      </c>
      <c r="AF179">
        <v>4944</v>
      </c>
      <c r="AG179">
        <v>12.28</v>
      </c>
      <c r="AH179">
        <v>19874</v>
      </c>
      <c r="AI179">
        <v>0.47</v>
      </c>
      <c r="AJ179">
        <v>0.5</v>
      </c>
      <c r="AK179">
        <v>0.37000006346458703</v>
      </c>
      <c r="AL179">
        <v>0.19608269957153701</v>
      </c>
      <c r="AM179">
        <v>29.0031843740338</v>
      </c>
      <c r="AN179">
        <v>6.97</v>
      </c>
      <c r="AO179">
        <v>22.11</v>
      </c>
      <c r="AP179">
        <v>3.99</v>
      </c>
      <c r="AQ179">
        <v>5.43</v>
      </c>
    </row>
    <row r="180" spans="1:43" x14ac:dyDescent="0.25">
      <c r="A180">
        <v>13880</v>
      </c>
      <c r="B180">
        <v>3231</v>
      </c>
      <c r="C180">
        <v>1332</v>
      </c>
      <c r="D180">
        <v>86</v>
      </c>
      <c r="E180">
        <v>1495</v>
      </c>
      <c r="F180">
        <v>11946</v>
      </c>
      <c r="G180">
        <v>2062</v>
      </c>
      <c r="H180">
        <v>1563</v>
      </c>
      <c r="I180">
        <v>835</v>
      </c>
      <c r="J180">
        <v>14.87</v>
      </c>
      <c r="K180">
        <v>14.34</v>
      </c>
      <c r="L180">
        <v>4.1399999999999997</v>
      </c>
      <c r="M180">
        <v>1.39</v>
      </c>
      <c r="N180">
        <v>0.18</v>
      </c>
      <c r="O180">
        <v>3.1</v>
      </c>
      <c r="P180">
        <v>24.74</v>
      </c>
      <c r="Q180">
        <v>10.039999999999999</v>
      </c>
      <c r="R180">
        <v>13.24</v>
      </c>
      <c r="S180">
        <v>12.97</v>
      </c>
      <c r="T180">
        <v>10.43</v>
      </c>
      <c r="U180">
        <v>20.420000000000002</v>
      </c>
      <c r="V180">
        <v>32.99</v>
      </c>
      <c r="W180">
        <v>32.119999999999997</v>
      </c>
      <c r="X180">
        <v>1722</v>
      </c>
      <c r="Y180">
        <v>1550</v>
      </c>
      <c r="Z180">
        <v>1154</v>
      </c>
      <c r="AA180">
        <v>388</v>
      </c>
      <c r="AB180">
        <v>7598</v>
      </c>
      <c r="AC180">
        <v>1052</v>
      </c>
      <c r="AD180">
        <v>5282</v>
      </c>
      <c r="AE180">
        <v>1404</v>
      </c>
      <c r="AF180">
        <v>4346</v>
      </c>
      <c r="AG180">
        <v>12.792</v>
      </c>
      <c r="AH180">
        <v>19136</v>
      </c>
      <c r="AI180">
        <v>0.47</v>
      </c>
      <c r="AJ180">
        <v>0.5</v>
      </c>
      <c r="AK180">
        <v>0.34445922332611401</v>
      </c>
      <c r="AL180">
        <v>7.9292221722423603E-2</v>
      </c>
      <c r="AM180">
        <v>32.2020265457001</v>
      </c>
      <c r="AN180">
        <v>0.66</v>
      </c>
      <c r="AO180">
        <v>26.14</v>
      </c>
      <c r="AP180">
        <v>9.99</v>
      </c>
      <c r="AQ180">
        <v>13.62</v>
      </c>
    </row>
    <row r="181" spans="1:43" x14ac:dyDescent="0.25">
      <c r="A181">
        <v>7865</v>
      </c>
      <c r="B181">
        <v>4953</v>
      </c>
      <c r="C181">
        <v>980</v>
      </c>
      <c r="D181">
        <v>422</v>
      </c>
      <c r="E181">
        <v>197</v>
      </c>
      <c r="F181">
        <v>12016</v>
      </c>
      <c r="G181">
        <v>928</v>
      </c>
      <c r="H181">
        <v>704</v>
      </c>
      <c r="I181">
        <v>2828</v>
      </c>
      <c r="J181">
        <v>8.43</v>
      </c>
      <c r="K181">
        <v>21.98</v>
      </c>
      <c r="L181">
        <v>3.04</v>
      </c>
      <c r="M181">
        <v>4.7</v>
      </c>
      <c r="N181">
        <v>0.87</v>
      </c>
      <c r="O181">
        <v>0.41</v>
      </c>
      <c r="P181">
        <v>24.89</v>
      </c>
      <c r="Q181">
        <v>15.39</v>
      </c>
      <c r="R181">
        <v>9.74</v>
      </c>
      <c r="S181">
        <v>11.12</v>
      </c>
      <c r="T181">
        <v>7.57</v>
      </c>
      <c r="U181">
        <v>10.19</v>
      </c>
      <c r="V181">
        <v>33.19</v>
      </c>
      <c r="W181">
        <v>44.42</v>
      </c>
      <c r="X181">
        <v>920</v>
      </c>
      <c r="Y181">
        <v>698</v>
      </c>
      <c r="Z181">
        <v>1161</v>
      </c>
      <c r="AA181">
        <v>387</v>
      </c>
      <c r="AB181">
        <v>7008</v>
      </c>
      <c r="AC181">
        <v>1111</v>
      </c>
      <c r="AD181">
        <v>5516</v>
      </c>
      <c r="AE181">
        <v>4754</v>
      </c>
      <c r="AF181">
        <v>7332</v>
      </c>
      <c r="AG181">
        <v>12.97</v>
      </c>
      <c r="AH181">
        <v>23874</v>
      </c>
      <c r="AI181">
        <v>0.36</v>
      </c>
      <c r="AJ181">
        <v>0.5</v>
      </c>
      <c r="AK181">
        <v>4.4682061195383399E-2</v>
      </c>
      <c r="AL181">
        <v>2.4625214407289402</v>
      </c>
      <c r="AM181">
        <v>31.9254572675761</v>
      </c>
      <c r="AN181">
        <v>7.16</v>
      </c>
      <c r="AO181">
        <v>17.95</v>
      </c>
      <c r="AP181">
        <v>5.8</v>
      </c>
      <c r="AQ181">
        <v>7.91</v>
      </c>
    </row>
    <row r="182" spans="1:43" x14ac:dyDescent="0.25">
      <c r="A182">
        <v>12953</v>
      </c>
      <c r="B182">
        <v>3278</v>
      </c>
      <c r="C182">
        <v>1430</v>
      </c>
      <c r="D182">
        <v>2</v>
      </c>
      <c r="E182">
        <v>1013</v>
      </c>
      <c r="F182">
        <v>11970</v>
      </c>
      <c r="G182">
        <v>2188</v>
      </c>
      <c r="H182">
        <v>1659</v>
      </c>
      <c r="I182">
        <v>613</v>
      </c>
      <c r="J182">
        <v>13.88</v>
      </c>
      <c r="K182">
        <v>14.55</v>
      </c>
      <c r="L182">
        <v>4.4400000000000004</v>
      </c>
      <c r="M182">
        <v>1.02</v>
      </c>
      <c r="N182">
        <v>0</v>
      </c>
      <c r="O182">
        <v>2.1</v>
      </c>
      <c r="P182">
        <v>24.79</v>
      </c>
      <c r="Q182">
        <v>10.18</v>
      </c>
      <c r="R182">
        <v>14.22</v>
      </c>
      <c r="S182">
        <v>12.89</v>
      </c>
      <c r="T182">
        <v>9.6300000000000008</v>
      </c>
      <c r="U182">
        <v>21.44</v>
      </c>
      <c r="V182">
        <v>33.06</v>
      </c>
      <c r="W182">
        <v>31.43</v>
      </c>
      <c r="X182">
        <v>1793</v>
      </c>
      <c r="Y182">
        <v>1644</v>
      </c>
      <c r="Z182">
        <v>1157</v>
      </c>
      <c r="AA182">
        <v>429</v>
      </c>
      <c r="AB182">
        <v>7747</v>
      </c>
      <c r="AC182">
        <v>1033</v>
      </c>
      <c r="AD182">
        <v>5275</v>
      </c>
      <c r="AE182">
        <v>1030</v>
      </c>
      <c r="AF182">
        <v>3875</v>
      </c>
      <c r="AG182">
        <v>13.164999999999999</v>
      </c>
      <c r="AH182">
        <v>18560</v>
      </c>
      <c r="AI182">
        <v>0.45</v>
      </c>
      <c r="AJ182">
        <v>0.5</v>
      </c>
      <c r="AK182">
        <v>2.7966608219120102</v>
      </c>
      <c r="AL182">
        <v>0.57308786816922597</v>
      </c>
      <c r="AM182">
        <v>31.652896386246699</v>
      </c>
      <c r="AN182">
        <v>7.17</v>
      </c>
      <c r="AO182">
        <v>17.63</v>
      </c>
      <c r="AP182">
        <v>3.62</v>
      </c>
      <c r="AQ182">
        <v>4.93</v>
      </c>
    </row>
    <row r="183" spans="1:43" x14ac:dyDescent="0.25">
      <c r="A183">
        <v>5646</v>
      </c>
      <c r="B183">
        <v>3116</v>
      </c>
      <c r="C183">
        <v>1552</v>
      </c>
      <c r="D183">
        <v>22</v>
      </c>
      <c r="E183">
        <v>1045</v>
      </c>
      <c r="F183">
        <v>11576</v>
      </c>
      <c r="G183">
        <v>2013</v>
      </c>
      <c r="H183">
        <v>1525</v>
      </c>
      <c r="I183">
        <v>922</v>
      </c>
      <c r="J183">
        <v>6.05</v>
      </c>
      <c r="K183">
        <v>13.83</v>
      </c>
      <c r="L183">
        <v>4.82</v>
      </c>
      <c r="M183">
        <v>1.53</v>
      </c>
      <c r="N183">
        <v>0.05</v>
      </c>
      <c r="O183">
        <v>2.16</v>
      </c>
      <c r="P183">
        <v>23.98</v>
      </c>
      <c r="Q183">
        <v>9.68</v>
      </c>
      <c r="R183">
        <v>15.43</v>
      </c>
      <c r="S183">
        <v>15.94</v>
      </c>
      <c r="T183">
        <v>3.24</v>
      </c>
      <c r="U183">
        <v>19.760000000000002</v>
      </c>
      <c r="V183">
        <v>31.97</v>
      </c>
      <c r="W183">
        <v>30.07</v>
      </c>
      <c r="X183">
        <v>1656</v>
      </c>
      <c r="Y183">
        <v>1512</v>
      </c>
      <c r="Z183">
        <v>1119</v>
      </c>
      <c r="AA183">
        <v>966</v>
      </c>
      <c r="AB183">
        <v>7860</v>
      </c>
      <c r="AC183">
        <v>865</v>
      </c>
      <c r="AD183">
        <v>5370</v>
      </c>
      <c r="AE183">
        <v>1550</v>
      </c>
      <c r="AF183">
        <v>3246</v>
      </c>
      <c r="AG183">
        <v>15.704000000000001</v>
      </c>
      <c r="AH183">
        <v>18289</v>
      </c>
      <c r="AI183">
        <v>0.38</v>
      </c>
      <c r="AJ183">
        <v>0.5</v>
      </c>
      <c r="AK183">
        <v>8.1765201774763194E-2</v>
      </c>
      <c r="AL183">
        <v>2.3754561665479601</v>
      </c>
      <c r="AM183">
        <v>33.1069036532787</v>
      </c>
      <c r="AN183">
        <v>2.06</v>
      </c>
      <c r="AO183">
        <v>22.21</v>
      </c>
      <c r="AP183">
        <v>10.18</v>
      </c>
      <c r="AQ183">
        <v>13.87</v>
      </c>
    </row>
    <row r="184" spans="1:43" x14ac:dyDescent="0.25">
      <c r="A184">
        <v>13779</v>
      </c>
      <c r="B184">
        <v>3700</v>
      </c>
      <c r="C184">
        <v>1324</v>
      </c>
      <c r="D184">
        <v>10</v>
      </c>
      <c r="E184">
        <v>1200</v>
      </c>
      <c r="F184">
        <v>11651</v>
      </c>
      <c r="G184">
        <v>2052</v>
      </c>
      <c r="H184">
        <v>1555</v>
      </c>
      <c r="I184">
        <v>853</v>
      </c>
      <c r="J184">
        <v>14.76</v>
      </c>
      <c r="K184">
        <v>16.420000000000002</v>
      </c>
      <c r="L184">
        <v>4.1100000000000003</v>
      </c>
      <c r="M184">
        <v>1.42</v>
      </c>
      <c r="N184">
        <v>0.02</v>
      </c>
      <c r="O184">
        <v>2.4900000000000002</v>
      </c>
      <c r="P184">
        <v>24.13</v>
      </c>
      <c r="Q184">
        <v>11.5</v>
      </c>
      <c r="R184">
        <v>13.16</v>
      </c>
      <c r="S184">
        <v>11.58</v>
      </c>
      <c r="T184">
        <v>11.01</v>
      </c>
      <c r="U184">
        <v>20.12</v>
      </c>
      <c r="V184">
        <v>32.18</v>
      </c>
      <c r="W184">
        <v>35.61</v>
      </c>
      <c r="X184">
        <v>1684</v>
      </c>
      <c r="Y184">
        <v>1541</v>
      </c>
      <c r="Z184">
        <v>1126</v>
      </c>
      <c r="AA184">
        <v>263</v>
      </c>
      <c r="AB184">
        <v>7699</v>
      </c>
      <c r="AC184">
        <v>1094</v>
      </c>
      <c r="AD184">
        <v>5282</v>
      </c>
      <c r="AE184">
        <v>1434</v>
      </c>
      <c r="AF184">
        <v>4513</v>
      </c>
      <c r="AG184">
        <v>12.744</v>
      </c>
      <c r="AH184">
        <v>19465</v>
      </c>
      <c r="AI184">
        <v>0.45</v>
      </c>
      <c r="AJ184">
        <v>0.52</v>
      </c>
      <c r="AK184">
        <v>0.22545759675567401</v>
      </c>
      <c r="AL184">
        <v>2.5680151551675499</v>
      </c>
      <c r="AM184">
        <v>32.002207231278099</v>
      </c>
      <c r="AN184">
        <v>13.16</v>
      </c>
      <c r="AO184">
        <v>11.65</v>
      </c>
      <c r="AP184">
        <v>0.04</v>
      </c>
      <c r="AQ184">
        <v>0.05</v>
      </c>
    </row>
    <row r="185" spans="1:43" x14ac:dyDescent="0.25">
      <c r="A185">
        <v>9263</v>
      </c>
      <c r="B185">
        <v>4567</v>
      </c>
      <c r="C185">
        <v>1081</v>
      </c>
      <c r="D185">
        <v>411</v>
      </c>
      <c r="E185">
        <v>201</v>
      </c>
      <c r="F185">
        <v>12114</v>
      </c>
      <c r="G185">
        <v>1555</v>
      </c>
      <c r="H185">
        <v>1178</v>
      </c>
      <c r="I185">
        <v>1727</v>
      </c>
      <c r="J185">
        <v>9.92</v>
      </c>
      <c r="K185">
        <v>20.27</v>
      </c>
      <c r="L185">
        <v>3.36</v>
      </c>
      <c r="M185">
        <v>2.87</v>
      </c>
      <c r="N185">
        <v>0.85</v>
      </c>
      <c r="O185">
        <v>0.42</v>
      </c>
      <c r="P185">
        <v>25.09</v>
      </c>
      <c r="Q185">
        <v>14.19</v>
      </c>
      <c r="R185">
        <v>10.75</v>
      </c>
      <c r="S185">
        <v>10.69</v>
      </c>
      <c r="T185">
        <v>8.43</v>
      </c>
      <c r="U185">
        <v>16.29</v>
      </c>
      <c r="V185">
        <v>33.46</v>
      </c>
      <c r="W185">
        <v>41</v>
      </c>
      <c r="X185">
        <v>1428</v>
      </c>
      <c r="Y185">
        <v>1168</v>
      </c>
      <c r="Z185">
        <v>1171</v>
      </c>
      <c r="AA185">
        <v>328</v>
      </c>
      <c r="AB185">
        <v>7642</v>
      </c>
      <c r="AC185">
        <v>1097</v>
      </c>
      <c r="AD185">
        <v>5356</v>
      </c>
      <c r="AE185">
        <v>2903</v>
      </c>
      <c r="AF185">
        <v>5582</v>
      </c>
      <c r="AG185">
        <v>13.423</v>
      </c>
      <c r="AH185">
        <v>21452</v>
      </c>
      <c r="AI185">
        <v>0.38</v>
      </c>
      <c r="AJ185">
        <v>0.52</v>
      </c>
      <c r="AK185">
        <v>0.101541692429418</v>
      </c>
      <c r="AL185">
        <v>1.3114779585493299</v>
      </c>
      <c r="AM185">
        <v>33.717546582595702</v>
      </c>
      <c r="AN185">
        <v>22.62</v>
      </c>
      <c r="AO185">
        <v>2.13</v>
      </c>
      <c r="AP185">
        <v>0.35</v>
      </c>
      <c r="AQ185">
        <v>0.48</v>
      </c>
    </row>
    <row r="186" spans="1:43" x14ac:dyDescent="0.25">
      <c r="A186">
        <v>5635</v>
      </c>
      <c r="B186">
        <v>4005</v>
      </c>
      <c r="C186">
        <v>1523</v>
      </c>
      <c r="D186">
        <v>151</v>
      </c>
      <c r="E186">
        <v>80</v>
      </c>
      <c r="F186">
        <v>11218</v>
      </c>
      <c r="G186">
        <v>1835</v>
      </c>
      <c r="H186">
        <v>1391</v>
      </c>
      <c r="I186">
        <v>1234</v>
      </c>
      <c r="J186">
        <v>6.04</v>
      </c>
      <c r="K186">
        <v>17.78</v>
      </c>
      <c r="L186">
        <v>4.7300000000000004</v>
      </c>
      <c r="M186">
        <v>2.0499999999999998</v>
      </c>
      <c r="N186">
        <v>0.31</v>
      </c>
      <c r="O186">
        <v>0.16</v>
      </c>
      <c r="P186">
        <v>23.24</v>
      </c>
      <c r="Q186">
        <v>12.44</v>
      </c>
      <c r="R186">
        <v>15.14</v>
      </c>
      <c r="S186">
        <v>13.32</v>
      </c>
      <c r="T186">
        <v>4.13</v>
      </c>
      <c r="U186">
        <v>18.350000000000001</v>
      </c>
      <c r="V186">
        <v>30.98</v>
      </c>
      <c r="W186">
        <v>35.74</v>
      </c>
      <c r="X186">
        <v>1559</v>
      </c>
      <c r="Y186">
        <v>1378</v>
      </c>
      <c r="Z186">
        <v>1084</v>
      </c>
      <c r="AA186">
        <v>743</v>
      </c>
      <c r="AB186">
        <v>7859</v>
      </c>
      <c r="AC186">
        <v>949</v>
      </c>
      <c r="AD186">
        <v>5416</v>
      </c>
      <c r="AE186">
        <v>2074</v>
      </c>
      <c r="AF186">
        <v>4063</v>
      </c>
      <c r="AG186">
        <v>15.282</v>
      </c>
      <c r="AH186">
        <v>19555</v>
      </c>
      <c r="AI186">
        <v>0.34</v>
      </c>
      <c r="AJ186">
        <v>0.52</v>
      </c>
      <c r="AK186">
        <v>9.2045965421381007E-2</v>
      </c>
      <c r="AL186">
        <v>2.4180686438146299</v>
      </c>
      <c r="AM186">
        <v>33.050515304493601</v>
      </c>
      <c r="AN186">
        <v>5.0199999999999996</v>
      </c>
      <c r="AO186">
        <v>19.239999999999998</v>
      </c>
      <c r="AP186">
        <v>5.8</v>
      </c>
      <c r="AQ186">
        <v>7.91</v>
      </c>
    </row>
    <row r="187" spans="1:43" x14ac:dyDescent="0.25">
      <c r="A187">
        <v>14145</v>
      </c>
      <c r="B187">
        <v>3519</v>
      </c>
      <c r="C187">
        <v>1325</v>
      </c>
      <c r="D187">
        <v>10</v>
      </c>
      <c r="E187">
        <v>1150</v>
      </c>
      <c r="F187">
        <v>11969</v>
      </c>
      <c r="G187">
        <v>2492</v>
      </c>
      <c r="H187">
        <v>1889</v>
      </c>
      <c r="I187">
        <v>79</v>
      </c>
      <c r="J187">
        <v>15.15</v>
      </c>
      <c r="K187">
        <v>15.62</v>
      </c>
      <c r="L187">
        <v>4.12</v>
      </c>
      <c r="M187">
        <v>0.13</v>
      </c>
      <c r="N187">
        <v>0.02</v>
      </c>
      <c r="O187">
        <v>2.38</v>
      </c>
      <c r="P187">
        <v>24.79</v>
      </c>
      <c r="Q187">
        <v>10.93</v>
      </c>
      <c r="R187">
        <v>13.17</v>
      </c>
      <c r="S187">
        <v>11.18</v>
      </c>
      <c r="T187">
        <v>11.48</v>
      </c>
      <c r="U187">
        <v>24.43</v>
      </c>
      <c r="V187">
        <v>33.06</v>
      </c>
      <c r="W187">
        <v>33.880000000000003</v>
      </c>
      <c r="X187">
        <v>2044</v>
      </c>
      <c r="Y187">
        <v>1873</v>
      </c>
      <c r="Z187">
        <v>1157</v>
      </c>
      <c r="AA187">
        <v>220</v>
      </c>
      <c r="AB187">
        <v>8229</v>
      </c>
      <c r="AC187">
        <v>1084</v>
      </c>
      <c r="AD187">
        <v>5146</v>
      </c>
      <c r="AE187">
        <v>133</v>
      </c>
      <c r="AF187">
        <v>3218</v>
      </c>
      <c r="AG187">
        <v>13.222</v>
      </c>
      <c r="AH187">
        <v>17758</v>
      </c>
      <c r="AI187">
        <v>0.47</v>
      </c>
      <c r="AJ187">
        <v>0.53</v>
      </c>
      <c r="AK187">
        <v>5.4151712488432202E-2</v>
      </c>
      <c r="AL187">
        <v>1.9709635516760899</v>
      </c>
      <c r="AM187">
        <v>31.307846188453201</v>
      </c>
      <c r="AN187">
        <v>0.44</v>
      </c>
      <c r="AO187">
        <v>25.56</v>
      </c>
      <c r="AP187">
        <v>3.15</v>
      </c>
      <c r="AQ187">
        <v>4.29</v>
      </c>
    </row>
    <row r="188" spans="1:43" x14ac:dyDescent="0.25">
      <c r="A188">
        <v>10359</v>
      </c>
      <c r="B188">
        <v>4294</v>
      </c>
      <c r="C188">
        <v>1107</v>
      </c>
      <c r="D188">
        <v>32</v>
      </c>
      <c r="E188">
        <v>1025</v>
      </c>
      <c r="F188">
        <v>11956</v>
      </c>
      <c r="G188">
        <v>1869</v>
      </c>
      <c r="H188">
        <v>1417</v>
      </c>
      <c r="I188">
        <v>1174</v>
      </c>
      <c r="J188">
        <v>11.1</v>
      </c>
      <c r="K188">
        <v>19.059999999999999</v>
      </c>
      <c r="L188">
        <v>3.44</v>
      </c>
      <c r="M188">
        <v>1.95</v>
      </c>
      <c r="N188">
        <v>7.0000000000000007E-2</v>
      </c>
      <c r="O188">
        <v>2.12</v>
      </c>
      <c r="P188">
        <v>24.76</v>
      </c>
      <c r="Q188">
        <v>13.34</v>
      </c>
      <c r="R188">
        <v>11.01</v>
      </c>
      <c r="S188">
        <v>10.59</v>
      </c>
      <c r="T188">
        <v>9.14</v>
      </c>
      <c r="U188">
        <v>18.39</v>
      </c>
      <c r="V188">
        <v>33.020000000000003</v>
      </c>
      <c r="W188">
        <v>40.47</v>
      </c>
      <c r="X188">
        <v>1543</v>
      </c>
      <c r="Y188">
        <v>1405</v>
      </c>
      <c r="Z188">
        <v>1155</v>
      </c>
      <c r="AA188">
        <v>292</v>
      </c>
      <c r="AB188">
        <v>7898</v>
      </c>
      <c r="AC188">
        <v>1092</v>
      </c>
      <c r="AD188">
        <v>5267</v>
      </c>
      <c r="AE188">
        <v>1973</v>
      </c>
      <c r="AF188">
        <v>4716</v>
      </c>
      <c r="AG188">
        <v>13.592000000000001</v>
      </c>
      <c r="AH188">
        <v>20180</v>
      </c>
      <c r="AI188">
        <v>0.4</v>
      </c>
      <c r="AJ188">
        <v>0.53</v>
      </c>
      <c r="AK188">
        <v>0.101541692429418</v>
      </c>
      <c r="AL188">
        <v>1.3200731889025501</v>
      </c>
      <c r="AM188">
        <v>33.781321291600797</v>
      </c>
      <c r="AN188">
        <v>22.38</v>
      </c>
      <c r="AO188">
        <v>2.31</v>
      </c>
      <c r="AP188">
        <v>0.05</v>
      </c>
      <c r="AQ188">
        <v>7.0000000000000007E-2</v>
      </c>
    </row>
    <row r="189" spans="1:43" x14ac:dyDescent="0.25">
      <c r="A189">
        <v>8410</v>
      </c>
      <c r="B189">
        <v>4319</v>
      </c>
      <c r="C189">
        <v>1344</v>
      </c>
      <c r="D189">
        <v>231</v>
      </c>
      <c r="E189">
        <v>445</v>
      </c>
      <c r="F189">
        <v>11163</v>
      </c>
      <c r="G189">
        <v>1878</v>
      </c>
      <c r="H189">
        <v>1424</v>
      </c>
      <c r="I189">
        <v>1158</v>
      </c>
      <c r="J189">
        <v>9.01</v>
      </c>
      <c r="K189">
        <v>19.170000000000002</v>
      </c>
      <c r="L189">
        <v>4.17</v>
      </c>
      <c r="M189">
        <v>1.93</v>
      </c>
      <c r="N189">
        <v>0.48</v>
      </c>
      <c r="O189">
        <v>0.92</v>
      </c>
      <c r="P189">
        <v>23.12</v>
      </c>
      <c r="Q189">
        <v>13.42</v>
      </c>
      <c r="R189">
        <v>13.36</v>
      </c>
      <c r="S189">
        <v>11.28</v>
      </c>
      <c r="T189">
        <v>7.14</v>
      </c>
      <c r="U189">
        <v>18.989999999999998</v>
      </c>
      <c r="V189">
        <v>30.83</v>
      </c>
      <c r="W189">
        <v>39.36</v>
      </c>
      <c r="X189">
        <v>1625</v>
      </c>
      <c r="Y189">
        <v>1410</v>
      </c>
      <c r="Z189">
        <v>1079</v>
      </c>
      <c r="AA189">
        <v>447</v>
      </c>
      <c r="AB189">
        <v>7968</v>
      </c>
      <c r="AC189">
        <v>1043</v>
      </c>
      <c r="AD189">
        <v>5342</v>
      </c>
      <c r="AE189">
        <v>1947</v>
      </c>
      <c r="AF189">
        <v>4419</v>
      </c>
      <c r="AG189">
        <v>14.446999999999999</v>
      </c>
      <c r="AH189">
        <v>19962</v>
      </c>
      <c r="AI189">
        <v>0.37</v>
      </c>
      <c r="AJ189">
        <v>0.53</v>
      </c>
      <c r="AK189">
        <v>1.747125923095</v>
      </c>
      <c r="AL189">
        <v>0.43974420630949201</v>
      </c>
      <c r="AM189">
        <v>33.523793675941199</v>
      </c>
      <c r="AN189">
        <v>15.89</v>
      </c>
      <c r="AO189">
        <v>8.48</v>
      </c>
      <c r="AP189">
        <v>0.13</v>
      </c>
      <c r="AQ189">
        <v>0.18</v>
      </c>
    </row>
    <row r="190" spans="1:43" x14ac:dyDescent="0.25">
      <c r="A190">
        <v>14276</v>
      </c>
      <c r="B190">
        <v>3814</v>
      </c>
      <c r="C190">
        <v>1423</v>
      </c>
      <c r="D190">
        <v>57</v>
      </c>
      <c r="E190">
        <v>1284</v>
      </c>
      <c r="F190">
        <v>10877</v>
      </c>
      <c r="G190">
        <v>2284</v>
      </c>
      <c r="H190">
        <v>1731</v>
      </c>
      <c r="I190">
        <v>445</v>
      </c>
      <c r="J190">
        <v>15.29</v>
      </c>
      <c r="K190">
        <v>16.93</v>
      </c>
      <c r="L190">
        <v>4.42</v>
      </c>
      <c r="M190">
        <v>0.74</v>
      </c>
      <c r="N190">
        <v>0.12</v>
      </c>
      <c r="O190">
        <v>2.66</v>
      </c>
      <c r="P190">
        <v>22.53</v>
      </c>
      <c r="Q190">
        <v>11.85</v>
      </c>
      <c r="R190">
        <v>14.14</v>
      </c>
      <c r="S190">
        <v>10.95</v>
      </c>
      <c r="T190">
        <v>11.79</v>
      </c>
      <c r="U190">
        <v>22.52</v>
      </c>
      <c r="V190">
        <v>30.04</v>
      </c>
      <c r="W190">
        <v>36.81</v>
      </c>
      <c r="X190">
        <v>1892</v>
      </c>
      <c r="Y190">
        <v>1717</v>
      </c>
      <c r="Z190">
        <v>1051</v>
      </c>
      <c r="AA190">
        <v>183</v>
      </c>
      <c r="AB190">
        <v>8030</v>
      </c>
      <c r="AC190">
        <v>1110</v>
      </c>
      <c r="AD190">
        <v>5242</v>
      </c>
      <c r="AE190">
        <v>748</v>
      </c>
      <c r="AF190">
        <v>3925</v>
      </c>
      <c r="AG190">
        <v>13.132999999999999</v>
      </c>
      <c r="AH190">
        <v>18764</v>
      </c>
      <c r="AI190">
        <v>0.46</v>
      </c>
      <c r="AJ190">
        <v>0.54</v>
      </c>
      <c r="AK190">
        <v>4.6015959528029199E-3</v>
      </c>
      <c r="AL190">
        <v>2.6843734730509001</v>
      </c>
      <c r="AM190">
        <v>31.948245985032599</v>
      </c>
      <c r="AN190">
        <v>0.62</v>
      </c>
      <c r="AO190">
        <v>24.3</v>
      </c>
      <c r="AP190">
        <v>6.08</v>
      </c>
      <c r="AQ190">
        <v>8.2899999999999991</v>
      </c>
    </row>
    <row r="191" spans="1:43" x14ac:dyDescent="0.25">
      <c r="A191">
        <v>13781</v>
      </c>
      <c r="B191">
        <v>3809</v>
      </c>
      <c r="C191">
        <v>1443</v>
      </c>
      <c r="D191">
        <v>98</v>
      </c>
      <c r="E191">
        <v>962</v>
      </c>
      <c r="F191">
        <v>11067</v>
      </c>
      <c r="G191">
        <v>2374</v>
      </c>
      <c r="H191">
        <v>1800</v>
      </c>
      <c r="I191">
        <v>286</v>
      </c>
      <c r="J191">
        <v>14.76</v>
      </c>
      <c r="K191">
        <v>16.91</v>
      </c>
      <c r="L191">
        <v>4.4800000000000004</v>
      </c>
      <c r="M191">
        <v>0.48</v>
      </c>
      <c r="N191">
        <v>0.2</v>
      </c>
      <c r="O191">
        <v>1.99</v>
      </c>
      <c r="P191">
        <v>22.92</v>
      </c>
      <c r="Q191">
        <v>11.84</v>
      </c>
      <c r="R191">
        <v>14.35</v>
      </c>
      <c r="S191">
        <v>10.9</v>
      </c>
      <c r="T191">
        <v>11.4</v>
      </c>
      <c r="U191">
        <v>23.5</v>
      </c>
      <c r="V191">
        <v>30.56</v>
      </c>
      <c r="W191">
        <v>36.03</v>
      </c>
      <c r="X191">
        <v>1981</v>
      </c>
      <c r="Y191">
        <v>1784</v>
      </c>
      <c r="Z191">
        <v>1069</v>
      </c>
      <c r="AA191">
        <v>203</v>
      </c>
      <c r="AB191">
        <v>8158</v>
      </c>
      <c r="AC191">
        <v>1098</v>
      </c>
      <c r="AD191">
        <v>5220</v>
      </c>
      <c r="AE191">
        <v>481</v>
      </c>
      <c r="AF191">
        <v>3596</v>
      </c>
      <c r="AG191">
        <v>13.352</v>
      </c>
      <c r="AH191">
        <v>18366</v>
      </c>
      <c r="AI191">
        <v>0.45</v>
      </c>
      <c r="AJ191">
        <v>0.54</v>
      </c>
      <c r="AK191">
        <v>2.41616814888804</v>
      </c>
      <c r="AL191">
        <v>0.31188113373608001</v>
      </c>
      <c r="AM191">
        <v>32.271539682490598</v>
      </c>
      <c r="AN191">
        <v>6.19</v>
      </c>
      <c r="AO191">
        <v>18.7</v>
      </c>
      <c r="AP191">
        <v>3.41</v>
      </c>
      <c r="AQ191">
        <v>4.6399999999999997</v>
      </c>
    </row>
    <row r="192" spans="1:43" x14ac:dyDescent="0.25">
      <c r="A192">
        <v>10225</v>
      </c>
      <c r="B192">
        <v>4292</v>
      </c>
      <c r="C192">
        <v>1108</v>
      </c>
      <c r="D192">
        <v>1</v>
      </c>
      <c r="E192">
        <v>1057</v>
      </c>
      <c r="F192">
        <v>11956</v>
      </c>
      <c r="G192">
        <v>2010</v>
      </c>
      <c r="H192">
        <v>1524</v>
      </c>
      <c r="I192">
        <v>926</v>
      </c>
      <c r="J192">
        <v>10.95</v>
      </c>
      <c r="K192">
        <v>19.05</v>
      </c>
      <c r="L192">
        <v>3.44</v>
      </c>
      <c r="M192">
        <v>1.54</v>
      </c>
      <c r="N192">
        <v>0</v>
      </c>
      <c r="O192">
        <v>2.19</v>
      </c>
      <c r="P192">
        <v>24.76</v>
      </c>
      <c r="Q192">
        <v>13.33</v>
      </c>
      <c r="R192">
        <v>11.01</v>
      </c>
      <c r="S192">
        <v>10.38</v>
      </c>
      <c r="T192">
        <v>9.18</v>
      </c>
      <c r="U192">
        <v>19.690000000000001</v>
      </c>
      <c r="V192">
        <v>33.020000000000003</v>
      </c>
      <c r="W192">
        <v>40.53</v>
      </c>
      <c r="X192">
        <v>1647</v>
      </c>
      <c r="Y192">
        <v>1510</v>
      </c>
      <c r="Z192">
        <v>1155</v>
      </c>
      <c r="AA192">
        <v>277</v>
      </c>
      <c r="AB192">
        <v>8098</v>
      </c>
      <c r="AC192">
        <v>1090</v>
      </c>
      <c r="AD192">
        <v>5223</v>
      </c>
      <c r="AE192">
        <v>1557</v>
      </c>
      <c r="AF192">
        <v>4278</v>
      </c>
      <c r="AG192">
        <v>13.853999999999999</v>
      </c>
      <c r="AH192">
        <v>19641</v>
      </c>
      <c r="AI192">
        <v>0.4</v>
      </c>
      <c r="AJ192">
        <v>0.54</v>
      </c>
      <c r="AK192">
        <v>8.3249500080946101E-2</v>
      </c>
      <c r="AL192">
        <v>2.35979247996733</v>
      </c>
      <c r="AM192">
        <v>33.018478706163002</v>
      </c>
      <c r="AN192">
        <v>13.34</v>
      </c>
      <c r="AO192">
        <v>11.01</v>
      </c>
      <c r="AP192">
        <v>7.75</v>
      </c>
      <c r="AQ192">
        <v>10.56</v>
      </c>
    </row>
    <row r="193" spans="1:43" x14ac:dyDescent="0.25">
      <c r="A193">
        <v>5613</v>
      </c>
      <c r="B193">
        <v>2536</v>
      </c>
      <c r="C193">
        <v>2460</v>
      </c>
      <c r="D193">
        <v>204</v>
      </c>
      <c r="E193">
        <v>1681</v>
      </c>
      <c r="F193">
        <v>7272</v>
      </c>
      <c r="G193">
        <v>2521</v>
      </c>
      <c r="H193">
        <v>1911</v>
      </c>
      <c r="I193">
        <v>28</v>
      </c>
      <c r="J193">
        <v>6.01</v>
      </c>
      <c r="K193">
        <v>11.26</v>
      </c>
      <c r="L193">
        <v>7.64</v>
      </c>
      <c r="M193">
        <v>0.05</v>
      </c>
      <c r="N193">
        <v>0.42</v>
      </c>
      <c r="O193">
        <v>3.48</v>
      </c>
      <c r="P193">
        <v>15.06</v>
      </c>
      <c r="Q193">
        <v>7.88</v>
      </c>
      <c r="R193">
        <v>24.45</v>
      </c>
      <c r="S193">
        <v>19.29</v>
      </c>
      <c r="T193">
        <v>2.65</v>
      </c>
      <c r="U193">
        <v>25.22</v>
      </c>
      <c r="V193">
        <v>20.079999999999998</v>
      </c>
      <c r="W193">
        <v>26.38</v>
      </c>
      <c r="X193">
        <v>2141</v>
      </c>
      <c r="Y193">
        <v>1895</v>
      </c>
      <c r="Z193">
        <v>703</v>
      </c>
      <c r="AA193">
        <v>1224</v>
      </c>
      <c r="AB193">
        <v>8252</v>
      </c>
      <c r="AC193">
        <v>763</v>
      </c>
      <c r="AD193">
        <v>5511</v>
      </c>
      <c r="AE193">
        <v>47</v>
      </c>
      <c r="AF193">
        <v>1551</v>
      </c>
      <c r="AG193">
        <v>17.745000000000001</v>
      </c>
      <c r="AH193">
        <v>16106</v>
      </c>
      <c r="AI193">
        <v>0.42</v>
      </c>
      <c r="AJ193">
        <v>0.54</v>
      </c>
      <c r="AK193">
        <v>0.52446769870204601</v>
      </c>
      <c r="AL193">
        <v>1.60189514795704</v>
      </c>
      <c r="AM193">
        <v>33.403430232128201</v>
      </c>
      <c r="AN193">
        <v>5.45</v>
      </c>
      <c r="AO193">
        <v>18.940000000000001</v>
      </c>
      <c r="AP193">
        <v>0.19</v>
      </c>
      <c r="AQ193">
        <v>0.26</v>
      </c>
    </row>
    <row r="194" spans="1:43" x14ac:dyDescent="0.25">
      <c r="A194">
        <v>10284</v>
      </c>
      <c r="B194">
        <v>4312</v>
      </c>
      <c r="C194">
        <v>1107</v>
      </c>
      <c r="D194">
        <v>58</v>
      </c>
      <c r="E194">
        <v>867</v>
      </c>
      <c r="F194">
        <v>12061</v>
      </c>
      <c r="G194">
        <v>2116</v>
      </c>
      <c r="H194">
        <v>1604</v>
      </c>
      <c r="I194">
        <v>740</v>
      </c>
      <c r="J194">
        <v>11.02</v>
      </c>
      <c r="K194">
        <v>19.14</v>
      </c>
      <c r="L194">
        <v>3.44</v>
      </c>
      <c r="M194">
        <v>1.23</v>
      </c>
      <c r="N194">
        <v>0.12</v>
      </c>
      <c r="O194">
        <v>1.8</v>
      </c>
      <c r="P194">
        <v>24.98</v>
      </c>
      <c r="Q194">
        <v>13.4</v>
      </c>
      <c r="R194">
        <v>11.01</v>
      </c>
      <c r="S194">
        <v>10.16</v>
      </c>
      <c r="T194">
        <v>9.42</v>
      </c>
      <c r="U194">
        <v>20.87</v>
      </c>
      <c r="V194">
        <v>33.31</v>
      </c>
      <c r="W194">
        <v>40.270000000000003</v>
      </c>
      <c r="X194">
        <v>1754</v>
      </c>
      <c r="Y194">
        <v>1590</v>
      </c>
      <c r="Z194">
        <v>1166</v>
      </c>
      <c r="AA194">
        <v>251</v>
      </c>
      <c r="AB194">
        <v>8246</v>
      </c>
      <c r="AC194">
        <v>1093</v>
      </c>
      <c r="AD194">
        <v>5191</v>
      </c>
      <c r="AE194">
        <v>1244</v>
      </c>
      <c r="AF194">
        <v>3988</v>
      </c>
      <c r="AG194">
        <v>13.951000000000001</v>
      </c>
      <c r="AH194">
        <v>19279</v>
      </c>
      <c r="AI194">
        <v>0.4</v>
      </c>
      <c r="AJ194">
        <v>0.55000000000000004</v>
      </c>
      <c r="AK194">
        <v>4.43416126265892E-2</v>
      </c>
      <c r="AL194">
        <v>1.8930328787499899</v>
      </c>
      <c r="AM194">
        <v>33.523556502510203</v>
      </c>
      <c r="AN194">
        <v>0.35</v>
      </c>
      <c r="AO194">
        <v>24.07</v>
      </c>
      <c r="AP194">
        <v>4.75</v>
      </c>
      <c r="AQ194">
        <v>6.47</v>
      </c>
    </row>
    <row r="195" spans="1:43" x14ac:dyDescent="0.25">
      <c r="A195">
        <v>7054</v>
      </c>
      <c r="B195">
        <v>4094</v>
      </c>
      <c r="C195">
        <v>1276</v>
      </c>
      <c r="D195">
        <v>7</v>
      </c>
      <c r="E195">
        <v>529</v>
      </c>
      <c r="F195">
        <v>11962</v>
      </c>
      <c r="G195">
        <v>2349</v>
      </c>
      <c r="H195">
        <v>1780</v>
      </c>
      <c r="I195">
        <v>331</v>
      </c>
      <c r="J195">
        <v>7.56</v>
      </c>
      <c r="K195">
        <v>18.170000000000002</v>
      </c>
      <c r="L195">
        <v>3.97</v>
      </c>
      <c r="M195">
        <v>0.55000000000000004</v>
      </c>
      <c r="N195">
        <v>0.02</v>
      </c>
      <c r="O195">
        <v>1.1000000000000001</v>
      </c>
      <c r="P195">
        <v>24.78</v>
      </c>
      <c r="Q195">
        <v>12.72</v>
      </c>
      <c r="R195">
        <v>12.69</v>
      </c>
      <c r="S195">
        <v>11.24</v>
      </c>
      <c r="T195">
        <v>6.24</v>
      </c>
      <c r="U195">
        <v>23.01</v>
      </c>
      <c r="V195">
        <v>33.04</v>
      </c>
      <c r="W195">
        <v>37.56</v>
      </c>
      <c r="X195">
        <v>1926</v>
      </c>
      <c r="Y195">
        <v>1764</v>
      </c>
      <c r="Z195">
        <v>1156</v>
      </c>
      <c r="AA195">
        <v>501</v>
      </c>
      <c r="AB195">
        <v>8599</v>
      </c>
      <c r="AC195">
        <v>999</v>
      </c>
      <c r="AD195">
        <v>5173</v>
      </c>
      <c r="AE195">
        <v>556</v>
      </c>
      <c r="AF195">
        <v>2771</v>
      </c>
      <c r="AG195">
        <v>15.433999999999999</v>
      </c>
      <c r="AH195">
        <v>17882</v>
      </c>
      <c r="AI195">
        <v>0.36</v>
      </c>
      <c r="AJ195">
        <v>0.55000000000000004</v>
      </c>
      <c r="AK195">
        <v>6.2308519984437101E-2</v>
      </c>
      <c r="AL195">
        <v>1.6845018469870101</v>
      </c>
      <c r="AM195">
        <v>32.894737713884098</v>
      </c>
      <c r="AN195">
        <v>2.16</v>
      </c>
      <c r="AO195">
        <v>22.9</v>
      </c>
      <c r="AP195">
        <v>10.44</v>
      </c>
      <c r="AQ195">
        <v>14.23</v>
      </c>
    </row>
    <row r="196" spans="1:43" x14ac:dyDescent="0.25">
      <c r="A196">
        <v>14757</v>
      </c>
      <c r="B196">
        <v>7204</v>
      </c>
      <c r="C196">
        <v>233</v>
      </c>
      <c r="D196">
        <v>39</v>
      </c>
      <c r="E196">
        <v>574</v>
      </c>
      <c r="F196">
        <v>12232</v>
      </c>
      <c r="G196">
        <v>13</v>
      </c>
      <c r="H196">
        <v>10</v>
      </c>
      <c r="I196">
        <v>4437</v>
      </c>
      <c r="J196">
        <v>15.81</v>
      </c>
      <c r="K196">
        <v>31.97</v>
      </c>
      <c r="L196">
        <v>0.72</v>
      </c>
      <c r="M196">
        <v>7.38</v>
      </c>
      <c r="N196">
        <v>0.08</v>
      </c>
      <c r="O196">
        <v>1.19</v>
      </c>
      <c r="P196">
        <v>25.34</v>
      </c>
      <c r="Q196">
        <v>22.38</v>
      </c>
      <c r="R196">
        <v>2.31</v>
      </c>
      <c r="S196">
        <v>8.1199999999999992</v>
      </c>
      <c r="T196">
        <v>21.58</v>
      </c>
      <c r="U196">
        <v>0.22</v>
      </c>
      <c r="V196">
        <v>33.78</v>
      </c>
      <c r="W196">
        <v>65.27</v>
      </c>
      <c r="X196">
        <v>25</v>
      </c>
      <c r="Y196">
        <v>9</v>
      </c>
      <c r="Z196">
        <v>1182</v>
      </c>
      <c r="AA196">
        <v>-650</v>
      </c>
      <c r="AB196">
        <v>6201</v>
      </c>
      <c r="AC196">
        <v>1498</v>
      </c>
      <c r="AD196">
        <v>5555</v>
      </c>
      <c r="AE196">
        <v>7459</v>
      </c>
      <c r="AF196">
        <v>11717</v>
      </c>
      <c r="AG196">
        <v>8.7360000000000007</v>
      </c>
      <c r="AH196">
        <v>29532</v>
      </c>
      <c r="AI196">
        <v>0.56999999999999995</v>
      </c>
      <c r="AJ196">
        <v>0.56000000000000005</v>
      </c>
      <c r="AK196">
        <v>0.41600723819183999</v>
      </c>
      <c r="AL196">
        <v>2.1065223392403301</v>
      </c>
      <c r="AM196">
        <v>31.923977875355199</v>
      </c>
      <c r="AN196">
        <v>0.11</v>
      </c>
      <c r="AO196">
        <v>25.01</v>
      </c>
      <c r="AP196">
        <v>5.45</v>
      </c>
      <c r="AQ196">
        <v>7.42</v>
      </c>
    </row>
    <row r="197" spans="1:43" x14ac:dyDescent="0.25">
      <c r="A197">
        <v>11011</v>
      </c>
      <c r="B197">
        <v>4105</v>
      </c>
      <c r="C197">
        <v>1232</v>
      </c>
      <c r="D197">
        <v>32</v>
      </c>
      <c r="E197">
        <v>853</v>
      </c>
      <c r="F197">
        <v>11808</v>
      </c>
      <c r="G197">
        <v>2455</v>
      </c>
      <c r="H197">
        <v>1860</v>
      </c>
      <c r="I197">
        <v>145</v>
      </c>
      <c r="J197">
        <v>11.8</v>
      </c>
      <c r="K197">
        <v>18.22</v>
      </c>
      <c r="L197">
        <v>3.83</v>
      </c>
      <c r="M197">
        <v>0.24</v>
      </c>
      <c r="N197">
        <v>7.0000000000000007E-2</v>
      </c>
      <c r="O197">
        <v>1.77</v>
      </c>
      <c r="P197">
        <v>24.46</v>
      </c>
      <c r="Q197">
        <v>12.75</v>
      </c>
      <c r="R197">
        <v>12.25</v>
      </c>
      <c r="S197">
        <v>10.14</v>
      </c>
      <c r="T197">
        <v>9.8699999999999992</v>
      </c>
      <c r="U197">
        <v>24.11</v>
      </c>
      <c r="V197">
        <v>32.61</v>
      </c>
      <c r="W197">
        <v>38.4</v>
      </c>
      <c r="X197">
        <v>2022</v>
      </c>
      <c r="Y197">
        <v>1844</v>
      </c>
      <c r="Z197">
        <v>1141</v>
      </c>
      <c r="AA197">
        <v>234</v>
      </c>
      <c r="AB197">
        <v>8565</v>
      </c>
      <c r="AC197">
        <v>1081</v>
      </c>
      <c r="AD197">
        <v>5126</v>
      </c>
      <c r="AE197">
        <v>244</v>
      </c>
      <c r="AF197">
        <v>3039</v>
      </c>
      <c r="AG197">
        <v>14.262</v>
      </c>
      <c r="AH197">
        <v>17960</v>
      </c>
      <c r="AI197">
        <v>0.41</v>
      </c>
      <c r="AJ197">
        <v>0.56000000000000005</v>
      </c>
      <c r="AK197">
        <v>0.34445922332611401</v>
      </c>
      <c r="AL197">
        <v>7.9292221722423603E-2</v>
      </c>
      <c r="AM197">
        <v>32.233357953475704</v>
      </c>
      <c r="AN197">
        <v>0.64</v>
      </c>
      <c r="AO197">
        <v>26.14</v>
      </c>
      <c r="AP197">
        <v>10.32</v>
      </c>
      <c r="AQ197">
        <v>14.07</v>
      </c>
    </row>
    <row r="198" spans="1:43" x14ac:dyDescent="0.25">
      <c r="A198">
        <v>11011</v>
      </c>
      <c r="B198">
        <v>4105</v>
      </c>
      <c r="C198">
        <v>1232</v>
      </c>
      <c r="D198">
        <v>32</v>
      </c>
      <c r="E198">
        <v>853</v>
      </c>
      <c r="F198">
        <v>11808</v>
      </c>
      <c r="G198">
        <v>2493</v>
      </c>
      <c r="H198">
        <v>1890</v>
      </c>
      <c r="I198">
        <v>77</v>
      </c>
      <c r="J198">
        <v>11.8</v>
      </c>
      <c r="K198">
        <v>18.22</v>
      </c>
      <c r="L198">
        <v>3.83</v>
      </c>
      <c r="M198">
        <v>0.13</v>
      </c>
      <c r="N198">
        <v>7.0000000000000007E-2</v>
      </c>
      <c r="O198">
        <v>1.77</v>
      </c>
      <c r="P198">
        <v>24.46</v>
      </c>
      <c r="Q198">
        <v>12.75</v>
      </c>
      <c r="R198">
        <v>12.25</v>
      </c>
      <c r="S198">
        <v>10.08</v>
      </c>
      <c r="T198">
        <v>9.92</v>
      </c>
      <c r="U198">
        <v>24.49</v>
      </c>
      <c r="V198">
        <v>32.61</v>
      </c>
      <c r="W198">
        <v>38.4</v>
      </c>
      <c r="X198">
        <v>2054</v>
      </c>
      <c r="Y198">
        <v>1873</v>
      </c>
      <c r="Z198">
        <v>1141</v>
      </c>
      <c r="AA198">
        <v>227</v>
      </c>
      <c r="AB198">
        <v>8619</v>
      </c>
      <c r="AC198">
        <v>1081</v>
      </c>
      <c r="AD198">
        <v>5115</v>
      </c>
      <c r="AE198">
        <v>129</v>
      </c>
      <c r="AF198">
        <v>2925</v>
      </c>
      <c r="AG198">
        <v>14.323</v>
      </c>
      <c r="AH198">
        <v>17819</v>
      </c>
      <c r="AI198">
        <v>0.42</v>
      </c>
      <c r="AJ198">
        <v>0.56000000000000005</v>
      </c>
      <c r="AK198">
        <v>8.5910620318766395E-2</v>
      </c>
      <c r="AL198">
        <v>2.4099060178028999</v>
      </c>
      <c r="AM198">
        <v>32.109493483810603</v>
      </c>
      <c r="AN198">
        <v>1.76</v>
      </c>
      <c r="AO198">
        <v>23.22</v>
      </c>
      <c r="AP198">
        <v>8.98</v>
      </c>
      <c r="AQ198">
        <v>12.23</v>
      </c>
    </row>
    <row r="199" spans="1:43" x14ac:dyDescent="0.25">
      <c r="A199">
        <v>5652</v>
      </c>
      <c r="B199">
        <v>3755</v>
      </c>
      <c r="C199">
        <v>2639</v>
      </c>
      <c r="D199">
        <v>133</v>
      </c>
      <c r="E199">
        <v>34</v>
      </c>
      <c r="F199">
        <v>6302</v>
      </c>
      <c r="G199">
        <v>2490</v>
      </c>
      <c r="H199">
        <v>1888</v>
      </c>
      <c r="I199">
        <v>82</v>
      </c>
      <c r="J199">
        <v>6.05</v>
      </c>
      <c r="K199">
        <v>16.670000000000002</v>
      </c>
      <c r="L199">
        <v>8.1999999999999993</v>
      </c>
      <c r="M199">
        <v>0.14000000000000001</v>
      </c>
      <c r="N199">
        <v>0.28000000000000003</v>
      </c>
      <c r="O199">
        <v>7.0000000000000007E-2</v>
      </c>
      <c r="P199">
        <v>13.05</v>
      </c>
      <c r="Q199">
        <v>11.67</v>
      </c>
      <c r="R199">
        <v>26.23</v>
      </c>
      <c r="S199">
        <v>15.26</v>
      </c>
      <c r="T199">
        <v>3.43</v>
      </c>
      <c r="U199">
        <v>24.73</v>
      </c>
      <c r="V199">
        <v>17.41</v>
      </c>
      <c r="W199">
        <v>33.409999999999997</v>
      </c>
      <c r="X199">
        <v>2090</v>
      </c>
      <c r="Y199">
        <v>1871</v>
      </c>
      <c r="Z199">
        <v>609</v>
      </c>
      <c r="AA199">
        <v>922</v>
      </c>
      <c r="AB199">
        <v>8387</v>
      </c>
      <c r="AC199">
        <v>868</v>
      </c>
      <c r="AD199">
        <v>5579</v>
      </c>
      <c r="AE199">
        <v>138</v>
      </c>
      <c r="AF199">
        <v>2128</v>
      </c>
      <c r="AG199">
        <v>17.395</v>
      </c>
      <c r="AH199">
        <v>17046</v>
      </c>
      <c r="AI199">
        <v>0.36</v>
      </c>
      <c r="AJ199">
        <v>0.56000000000000005</v>
      </c>
      <c r="AK199">
        <v>0.41543668019914398</v>
      </c>
      <c r="AL199">
        <v>1.6944680399598899</v>
      </c>
      <c r="AM199">
        <v>32.870841595560499</v>
      </c>
      <c r="AN199">
        <v>11.72</v>
      </c>
      <c r="AO199">
        <v>13.07</v>
      </c>
      <c r="AP199">
        <v>1.58</v>
      </c>
      <c r="AQ199">
        <v>2.15</v>
      </c>
    </row>
    <row r="200" spans="1:43" x14ac:dyDescent="0.25">
      <c r="A200">
        <v>14757</v>
      </c>
      <c r="B200">
        <v>7238</v>
      </c>
      <c r="C200">
        <v>222</v>
      </c>
      <c r="D200">
        <v>39</v>
      </c>
      <c r="E200">
        <v>574</v>
      </c>
      <c r="F200">
        <v>12232</v>
      </c>
      <c r="G200">
        <v>35</v>
      </c>
      <c r="H200">
        <v>26</v>
      </c>
      <c r="I200">
        <v>4399</v>
      </c>
      <c r="J200">
        <v>15.81</v>
      </c>
      <c r="K200">
        <v>32.130000000000003</v>
      </c>
      <c r="L200">
        <v>0.69</v>
      </c>
      <c r="M200">
        <v>7.32</v>
      </c>
      <c r="N200">
        <v>0.08</v>
      </c>
      <c r="O200">
        <v>1.19</v>
      </c>
      <c r="P200">
        <v>25.34</v>
      </c>
      <c r="Q200">
        <v>22.49</v>
      </c>
      <c r="R200">
        <v>2.21</v>
      </c>
      <c r="S200">
        <v>8.06</v>
      </c>
      <c r="T200">
        <v>21.77</v>
      </c>
      <c r="U200">
        <v>0.44</v>
      </c>
      <c r="V200">
        <v>33.78</v>
      </c>
      <c r="W200">
        <v>65.569999999999993</v>
      </c>
      <c r="X200">
        <v>42</v>
      </c>
      <c r="Y200">
        <v>27</v>
      </c>
      <c r="Z200">
        <v>1182</v>
      </c>
      <c r="AA200">
        <v>-665</v>
      </c>
      <c r="AB200">
        <v>6247</v>
      </c>
      <c r="AC200">
        <v>1502</v>
      </c>
      <c r="AD200">
        <v>5545</v>
      </c>
      <c r="AE200">
        <v>7395</v>
      </c>
      <c r="AF200">
        <v>11662</v>
      </c>
      <c r="AG200">
        <v>8.77</v>
      </c>
      <c r="AH200">
        <v>29478</v>
      </c>
      <c r="AI200">
        <v>0.56999999999999995</v>
      </c>
      <c r="AJ200">
        <v>0.56999999999999995</v>
      </c>
      <c r="AK200">
        <v>5.2552469357840602E-2</v>
      </c>
      <c r="AL200">
        <v>1.5139067970040301E-2</v>
      </c>
      <c r="AM200">
        <v>31.625141207366202</v>
      </c>
      <c r="AN200">
        <v>2.27</v>
      </c>
      <c r="AO200">
        <v>25.25</v>
      </c>
      <c r="AP200">
        <v>10.26</v>
      </c>
      <c r="AQ200">
        <v>13.99</v>
      </c>
    </row>
    <row r="201" spans="1:43" x14ac:dyDescent="0.25">
      <c r="A201">
        <v>14757</v>
      </c>
      <c r="B201">
        <v>7204</v>
      </c>
      <c r="C201">
        <v>233</v>
      </c>
      <c r="D201">
        <v>38</v>
      </c>
      <c r="E201">
        <v>575</v>
      </c>
      <c r="F201">
        <v>12232</v>
      </c>
      <c r="G201">
        <v>52</v>
      </c>
      <c r="H201">
        <v>40</v>
      </c>
      <c r="I201">
        <v>4368</v>
      </c>
      <c r="J201">
        <v>15.81</v>
      </c>
      <c r="K201">
        <v>31.97</v>
      </c>
      <c r="L201">
        <v>0.72</v>
      </c>
      <c r="M201">
        <v>7.27</v>
      </c>
      <c r="N201">
        <v>0.08</v>
      </c>
      <c r="O201">
        <v>1.19</v>
      </c>
      <c r="P201">
        <v>25.34</v>
      </c>
      <c r="Q201">
        <v>22.38</v>
      </c>
      <c r="R201">
        <v>2.31</v>
      </c>
      <c r="S201">
        <v>8.06</v>
      </c>
      <c r="T201">
        <v>21.64</v>
      </c>
      <c r="U201">
        <v>0.62</v>
      </c>
      <c r="V201">
        <v>33.78</v>
      </c>
      <c r="W201">
        <v>65.27</v>
      </c>
      <c r="X201">
        <v>58</v>
      </c>
      <c r="Y201">
        <v>40</v>
      </c>
      <c r="Z201">
        <v>1182</v>
      </c>
      <c r="AA201">
        <v>-656</v>
      </c>
      <c r="AB201">
        <v>6258</v>
      </c>
      <c r="AC201">
        <v>1498</v>
      </c>
      <c r="AD201">
        <v>5542</v>
      </c>
      <c r="AE201">
        <v>7343</v>
      </c>
      <c r="AF201">
        <v>11601</v>
      </c>
      <c r="AG201">
        <v>8.8010000000000002</v>
      </c>
      <c r="AH201">
        <v>29389</v>
      </c>
      <c r="AI201">
        <v>0.56999999999999995</v>
      </c>
      <c r="AJ201">
        <v>0.56999999999999995</v>
      </c>
      <c r="AK201">
        <v>0.16571458901769801</v>
      </c>
      <c r="AL201">
        <v>1.8490049275474001</v>
      </c>
      <c r="AM201">
        <v>33.4478627918661</v>
      </c>
      <c r="AN201">
        <v>17.2</v>
      </c>
      <c r="AO201">
        <v>7.22</v>
      </c>
      <c r="AP201">
        <v>0.21</v>
      </c>
      <c r="AQ201">
        <v>0.28999999999999998</v>
      </c>
    </row>
    <row r="202" spans="1:43" x14ac:dyDescent="0.25">
      <c r="A202">
        <v>14762</v>
      </c>
      <c r="B202">
        <v>7280</v>
      </c>
      <c r="C202">
        <v>214</v>
      </c>
      <c r="D202">
        <v>39</v>
      </c>
      <c r="E202">
        <v>570</v>
      </c>
      <c r="F202">
        <v>12209</v>
      </c>
      <c r="G202">
        <v>85</v>
      </c>
      <c r="H202">
        <v>64</v>
      </c>
      <c r="I202">
        <v>4311</v>
      </c>
      <c r="J202">
        <v>15.81</v>
      </c>
      <c r="K202">
        <v>32.31</v>
      </c>
      <c r="L202">
        <v>0.67</v>
      </c>
      <c r="M202">
        <v>7.17</v>
      </c>
      <c r="N202">
        <v>0.08</v>
      </c>
      <c r="O202">
        <v>1.18</v>
      </c>
      <c r="P202">
        <v>25.29</v>
      </c>
      <c r="Q202">
        <v>22.62</v>
      </c>
      <c r="R202">
        <v>2.13</v>
      </c>
      <c r="S202">
        <v>7.96</v>
      </c>
      <c r="T202">
        <v>22.03</v>
      </c>
      <c r="U202">
        <v>0.93</v>
      </c>
      <c r="V202">
        <v>33.72</v>
      </c>
      <c r="W202">
        <v>65.94</v>
      </c>
      <c r="X202">
        <v>84</v>
      </c>
      <c r="Y202">
        <v>63</v>
      </c>
      <c r="Z202">
        <v>1180</v>
      </c>
      <c r="AA202">
        <v>-687</v>
      </c>
      <c r="AB202">
        <v>6333</v>
      </c>
      <c r="AC202">
        <v>1506</v>
      </c>
      <c r="AD202">
        <v>5526</v>
      </c>
      <c r="AE202">
        <v>7247</v>
      </c>
      <c r="AF202">
        <v>11528</v>
      </c>
      <c r="AG202">
        <v>8.8480000000000008</v>
      </c>
      <c r="AH202">
        <v>29324</v>
      </c>
      <c r="AI202">
        <v>0.57999999999999996</v>
      </c>
      <c r="AJ202">
        <v>0.56999999999999995</v>
      </c>
      <c r="AK202">
        <v>0.22122661339799601</v>
      </c>
      <c r="AL202">
        <v>2.1971234247715699</v>
      </c>
      <c r="AM202">
        <v>32.439078210695598</v>
      </c>
      <c r="AN202">
        <v>5.05</v>
      </c>
      <c r="AO202">
        <v>19.77</v>
      </c>
      <c r="AP202">
        <v>3.14</v>
      </c>
      <c r="AQ202">
        <v>4.28</v>
      </c>
    </row>
    <row r="203" spans="1:43" x14ac:dyDescent="0.25">
      <c r="A203">
        <v>6368</v>
      </c>
      <c r="B203">
        <v>6922</v>
      </c>
      <c r="C203">
        <v>1947</v>
      </c>
      <c r="D203">
        <v>6</v>
      </c>
      <c r="E203">
        <v>889</v>
      </c>
      <c r="F203">
        <v>4144</v>
      </c>
      <c r="G203">
        <v>45</v>
      </c>
      <c r="H203">
        <v>34</v>
      </c>
      <c r="I203">
        <v>4381</v>
      </c>
      <c r="J203">
        <v>6.82</v>
      </c>
      <c r="K203">
        <v>30.72</v>
      </c>
      <c r="L203">
        <v>6.05</v>
      </c>
      <c r="M203">
        <v>7.29</v>
      </c>
      <c r="N203">
        <v>0.01</v>
      </c>
      <c r="O203">
        <v>1.84</v>
      </c>
      <c r="P203">
        <v>8.58</v>
      </c>
      <c r="Q203">
        <v>21.51</v>
      </c>
      <c r="R203">
        <v>19.36</v>
      </c>
      <c r="S203">
        <v>10.7</v>
      </c>
      <c r="T203">
        <v>8.69</v>
      </c>
      <c r="U203">
        <v>0.45</v>
      </c>
      <c r="V203">
        <v>11.44</v>
      </c>
      <c r="W203">
        <v>63.49</v>
      </c>
      <c r="X203">
        <v>38</v>
      </c>
      <c r="Y203">
        <v>34</v>
      </c>
      <c r="Z203">
        <v>400</v>
      </c>
      <c r="AA203">
        <v>262</v>
      </c>
      <c r="AB203">
        <v>6218</v>
      </c>
      <c r="AC203">
        <v>1214</v>
      </c>
      <c r="AD203">
        <v>6111</v>
      </c>
      <c r="AE203">
        <v>7364</v>
      </c>
      <c r="AF203">
        <v>10437</v>
      </c>
      <c r="AG203">
        <v>13.773999999999999</v>
      </c>
      <c r="AH203">
        <v>28483</v>
      </c>
      <c r="AI203">
        <v>0.34</v>
      </c>
      <c r="AJ203">
        <v>0.56999999999999995</v>
      </c>
      <c r="AK203">
        <v>6.2337579785308399E-2</v>
      </c>
      <c r="AL203">
        <v>1.3759045815856701</v>
      </c>
      <c r="AM203">
        <v>33.380494322672597</v>
      </c>
      <c r="AN203">
        <v>0.04</v>
      </c>
      <c r="AO203">
        <v>24.94</v>
      </c>
      <c r="AP203">
        <v>10.47</v>
      </c>
      <c r="AQ203">
        <v>14.26</v>
      </c>
    </row>
    <row r="204" spans="1:43" x14ac:dyDescent="0.25">
      <c r="A204">
        <v>5565</v>
      </c>
      <c r="B204">
        <v>3945</v>
      </c>
      <c r="C204">
        <v>1287</v>
      </c>
      <c r="D204">
        <v>59</v>
      </c>
      <c r="E204">
        <v>1043</v>
      </c>
      <c r="F204">
        <v>11571</v>
      </c>
      <c r="G204">
        <v>2499</v>
      </c>
      <c r="H204">
        <v>1894</v>
      </c>
      <c r="I204">
        <v>67</v>
      </c>
      <c r="J204">
        <v>5.96</v>
      </c>
      <c r="K204">
        <v>17.510000000000002</v>
      </c>
      <c r="L204">
        <v>4</v>
      </c>
      <c r="M204">
        <v>0.11</v>
      </c>
      <c r="N204">
        <v>0.12</v>
      </c>
      <c r="O204">
        <v>2.16</v>
      </c>
      <c r="P204">
        <v>23.97</v>
      </c>
      <c r="Q204">
        <v>12.26</v>
      </c>
      <c r="R204">
        <v>12.79</v>
      </c>
      <c r="S204">
        <v>11.86</v>
      </c>
      <c r="T204">
        <v>5</v>
      </c>
      <c r="U204">
        <v>24.62</v>
      </c>
      <c r="V204">
        <v>31.96</v>
      </c>
      <c r="W204">
        <v>37.42</v>
      </c>
      <c r="X204">
        <v>2068</v>
      </c>
      <c r="Y204">
        <v>1878</v>
      </c>
      <c r="Z204">
        <v>1118</v>
      </c>
      <c r="AA204">
        <v>610</v>
      </c>
      <c r="AB204">
        <v>8914</v>
      </c>
      <c r="AC204">
        <v>954</v>
      </c>
      <c r="AD204">
        <v>5131</v>
      </c>
      <c r="AE204">
        <v>113</v>
      </c>
      <c r="AF204">
        <v>2031</v>
      </c>
      <c r="AG204">
        <v>16.466999999999999</v>
      </c>
      <c r="AH204">
        <v>17099</v>
      </c>
      <c r="AI204">
        <v>0.35</v>
      </c>
      <c r="AJ204">
        <v>0.56999999999999995</v>
      </c>
    </row>
  </sheetData>
  <sortState ref="A5:AJ204">
    <sortCondition ref="AJ5:AJ204"/>
  </sortState>
  <mergeCells count="9">
    <mergeCell ref="U1:W1"/>
    <mergeCell ref="X1:AF1"/>
    <mergeCell ref="AG1:AJ1"/>
    <mergeCell ref="A1:F1"/>
    <mergeCell ref="G1:I1"/>
    <mergeCell ref="J1:K1"/>
    <mergeCell ref="L1:M1"/>
    <mergeCell ref="N1:R1"/>
    <mergeCell ref="S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moead</vt:lpstr>
      <vt:lpstr>spea2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Shahriar Mahbub</dc:creator>
  <cp:lastModifiedBy>Shahriar Mahbub</cp:lastModifiedBy>
  <dcterms:created xsi:type="dcterms:W3CDTF">2015-02-24T09:13:51Z</dcterms:created>
  <dcterms:modified xsi:type="dcterms:W3CDTF">2015-03-16T11:00:53Z</dcterms:modified>
</cp:coreProperties>
</file>