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"/>
    </mc:Choice>
  </mc:AlternateContent>
  <bookViews>
    <workbookView xWindow="0" yWindow="0" windowWidth="25200" windowHeight="11385"/>
  </bookViews>
  <sheets>
    <sheet name="Sheet4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4" l="1"/>
  <c r="AC5" i="4"/>
  <c r="AG206" i="4" l="1"/>
  <c r="AG207" i="4"/>
  <c r="AG208" i="4"/>
  <c r="AF206" i="4"/>
  <c r="AF207" i="4"/>
  <c r="AF208" i="4"/>
  <c r="P216" i="4"/>
  <c r="P215" i="4"/>
  <c r="O219" i="4"/>
  <c r="O215" i="4"/>
  <c r="O217" i="4"/>
  <c r="O216" i="4"/>
  <c r="O213" i="4"/>
  <c r="O211" i="4"/>
  <c r="O208" i="4"/>
  <c r="O212" i="4"/>
  <c r="O207" i="4"/>
  <c r="O206" i="4"/>
  <c r="Z5" i="4"/>
  <c r="AD5" i="4" l="1"/>
</calcChain>
</file>

<file path=xl/sharedStrings.xml><?xml version="1.0" encoding="utf-8"?>
<sst xmlns="http://schemas.openxmlformats.org/spreadsheetml/2006/main" count="68" uniqueCount="42">
  <si>
    <t>Cost</t>
  </si>
  <si>
    <t>OilConsumption</t>
  </si>
  <si>
    <t>BiomassConsumption</t>
  </si>
  <si>
    <t>CO2-Emission</t>
  </si>
  <si>
    <t>AnnualCost</t>
  </si>
  <si>
    <t>LoadFollowingCapacity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</si>
  <si>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</si>
  <si>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</si>
  <si>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</si>
  <si>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</si>
  <si>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</si>
  <si>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</si>
  <si>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</si>
  <si>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</si>
  <si>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</si>
  <si>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</si>
  <si>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</si>
  <si>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</si>
  <si>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CHPelec</t>
  </si>
  <si>
    <t>HPelec</t>
  </si>
  <si>
    <t>electric</t>
  </si>
  <si>
    <t>OilBoiler</t>
  </si>
  <si>
    <t>NGasBoiler</t>
  </si>
  <si>
    <t>BiomassBoiler</t>
  </si>
  <si>
    <t>nGasCHP</t>
  </si>
  <si>
    <t>heat</t>
  </si>
  <si>
    <t>Annual Production</t>
  </si>
  <si>
    <t>Import</t>
  </si>
  <si>
    <t>Export</t>
  </si>
  <si>
    <t>Diesel</t>
  </si>
  <si>
    <t>Petrol</t>
  </si>
  <si>
    <t>Biomass</t>
  </si>
  <si>
    <t>ElectricityExchange</t>
  </si>
  <si>
    <t>Variable</t>
  </si>
  <si>
    <t>FixedOperation</t>
  </si>
  <si>
    <t>Additional</t>
  </si>
  <si>
    <t>Investment</t>
  </si>
  <si>
    <t>Objectives</t>
  </si>
  <si>
    <t>ESD</t>
  </si>
  <si>
    <t>NGasConsumption</t>
  </si>
  <si>
    <t>Import &amp; Export</t>
  </si>
  <si>
    <t>Fuel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</si>
</sst>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2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7" borderId="0" xfId="0" applyFill="1"/>
    <xf numFmtId="1" fontId="0" fillId="7" borderId="0" xfId="0" applyNumberFormat="1" applyFill="1"/>
    <xf numFmtId="0" fontId="0" fillId="0" borderId="0" xfId="0" applyBorder="1"/>
    <xf numFmtId="2" fontId="0" fillId="7" borderId="0" xfId="0" applyNumberFormat="1" applyFill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19"/>
  <sheetViews>
    <sheetView tabSelected="1" topLeftCell="O1" workbookViewId="0">
      <pane ySplit="5" topLeftCell="A9" activePane="bottomLeft" state="frozen"/>
      <selection pane="bottomLeft" activeCell="AD9" sqref="AD9"/>
    </sheetView>
  </sheetViews>
  <sheetFormatPr defaultRowHeight="15" x14ac:dyDescent="0.25"/>
  <cols>
    <col min="1" max="1" width="6" bestFit="1" customWidth="1"/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10" max="10" width="8.85546875" bestFit="1" customWidth="1"/>
    <col min="11" max="11" width="10.85546875" bestFit="1" customWidth="1"/>
    <col min="12" max="12" width="13.7109375" bestFit="1" customWidth="1"/>
    <col min="13" max="13" width="8.85546875" bestFit="1" customWidth="1"/>
    <col min="15" max="15" width="13.42578125" bestFit="1" customWidth="1"/>
    <col min="17" max="17" width="15.5703125" bestFit="1" customWidth="1"/>
    <col min="18" max="18" width="20.42578125" bestFit="1" customWidth="1"/>
    <col min="19" max="19" width="17.7109375" bestFit="1" customWidth="1"/>
    <col min="20" max="20" width="6.5703125" bestFit="1" customWidth="1"/>
    <col min="21" max="21" width="6.42578125" bestFit="1" customWidth="1"/>
    <col min="22" max="22" width="8.28515625" bestFit="1" customWidth="1"/>
    <col min="23" max="23" width="18.28515625" bestFit="1" customWidth="1"/>
    <col min="24" max="24" width="8.42578125" bestFit="1" customWidth="1"/>
    <col min="25" max="25" width="15" bestFit="1" customWidth="1"/>
    <col min="26" max="26" width="10.28515625" bestFit="1" customWidth="1"/>
    <col min="27" max="27" width="11.140625" bestFit="1" customWidth="1"/>
    <col min="28" max="28" width="13.28515625" bestFit="1" customWidth="1"/>
    <col min="29" max="29" width="11.140625" bestFit="1" customWidth="1"/>
    <col min="30" max="30" width="21.7109375" bestFit="1" customWidth="1"/>
  </cols>
  <sheetData>
    <row r="1" spans="1:32" x14ac:dyDescent="0.25">
      <c r="A1" s="11" t="s">
        <v>11</v>
      </c>
      <c r="B1" s="11"/>
      <c r="C1" s="11"/>
      <c r="D1" s="11"/>
      <c r="E1" s="11"/>
      <c r="F1" s="11"/>
      <c r="G1" s="11" t="s">
        <v>26</v>
      </c>
      <c r="H1" s="11"/>
      <c r="I1" s="11"/>
      <c r="J1" s="11"/>
      <c r="K1" s="11"/>
      <c r="L1" s="11"/>
      <c r="M1" s="11"/>
      <c r="N1" s="11"/>
      <c r="O1" s="11" t="s">
        <v>40</v>
      </c>
      <c r="P1" s="11"/>
      <c r="Q1" s="11" t="s">
        <v>41</v>
      </c>
      <c r="R1" s="11"/>
      <c r="S1" s="11"/>
    </row>
    <row r="2" spans="1:32" x14ac:dyDescent="0.25">
      <c r="A2" s="11"/>
      <c r="B2" s="11"/>
      <c r="C2" s="11"/>
      <c r="D2" s="11"/>
      <c r="E2" s="11"/>
      <c r="F2" s="11"/>
      <c r="G2" s="11" t="s">
        <v>20</v>
      </c>
      <c r="H2" s="11"/>
      <c r="I2" s="11"/>
      <c r="J2" s="11" t="s">
        <v>25</v>
      </c>
      <c r="K2" s="11"/>
      <c r="L2" s="11"/>
      <c r="M2" s="11"/>
      <c r="N2" s="11"/>
      <c r="O2" s="12"/>
      <c r="P2" s="12"/>
      <c r="Q2" s="12"/>
      <c r="R2" s="12"/>
      <c r="S2" s="12"/>
      <c r="T2" s="11" t="s">
        <v>0</v>
      </c>
      <c r="U2" s="11"/>
      <c r="V2" s="11"/>
      <c r="W2" s="11"/>
      <c r="X2" s="11"/>
      <c r="Y2" s="11"/>
      <c r="Z2" s="11"/>
      <c r="AA2" s="11"/>
      <c r="AB2" s="12" t="s">
        <v>37</v>
      </c>
      <c r="AC2" s="12"/>
      <c r="AD2" s="12"/>
      <c r="AE2" s="12"/>
    </row>
    <row r="3" spans="1:32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3" t="s">
        <v>5</v>
      </c>
      <c r="AE3" s="13" t="s">
        <v>38</v>
      </c>
    </row>
    <row r="4" spans="1:32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4"/>
      <c r="AE4" s="14"/>
    </row>
    <row r="5" spans="1:32" x14ac:dyDescent="0.25">
      <c r="A5" s="7">
        <v>5565</v>
      </c>
      <c r="B5" s="7">
        <v>0</v>
      </c>
      <c r="C5" s="7">
        <v>0</v>
      </c>
      <c r="D5" s="7">
        <v>3688</v>
      </c>
      <c r="E5" s="7">
        <v>13175</v>
      </c>
      <c r="F5" s="7">
        <v>7903</v>
      </c>
      <c r="G5" s="7">
        <v>5.96</v>
      </c>
      <c r="H5" s="7">
        <v>0</v>
      </c>
      <c r="I5" s="7">
        <v>0</v>
      </c>
      <c r="J5" s="7">
        <v>7.64</v>
      </c>
      <c r="K5" s="7">
        <v>27.29</v>
      </c>
      <c r="L5" s="7">
        <v>16.37</v>
      </c>
      <c r="M5" s="7">
        <v>0</v>
      </c>
      <c r="N5" s="7">
        <v>0</v>
      </c>
      <c r="O5" s="7">
        <v>22.51</v>
      </c>
      <c r="P5" s="7">
        <v>2.25</v>
      </c>
      <c r="Q5" s="7">
        <v>34.369999999999997</v>
      </c>
      <c r="R5" s="7">
        <v>21.83</v>
      </c>
      <c r="S5" s="7">
        <v>30.32</v>
      </c>
      <c r="T5" s="7">
        <v>3461</v>
      </c>
      <c r="U5" s="7">
        <v>1904</v>
      </c>
      <c r="V5" s="7">
        <v>764</v>
      </c>
      <c r="W5" s="7">
        <v>1450</v>
      </c>
      <c r="X5" s="7">
        <v>10208</v>
      </c>
      <c r="Y5" s="7">
        <v>653</v>
      </c>
      <c r="Z5" s="8">
        <f>(17.95+5.96+O5-P5)*106.27</f>
        <v>4693.9458999999997</v>
      </c>
      <c r="AA5" s="7">
        <v>0</v>
      </c>
      <c r="AB5" s="7">
        <v>22.2</v>
      </c>
      <c r="AC5" s="8">
        <f>X5+Y5+Z5+AA5</f>
        <v>15554.945899999999</v>
      </c>
      <c r="AD5" s="10">
        <f>(O5+P5)/44.17</f>
        <v>0.56056146705908994</v>
      </c>
      <c r="AE5" s="10">
        <f>(O5+S5+Q5)/(44.17+9.55+30.32+21.83+24.82)</f>
        <v>0.66722779095569662</v>
      </c>
    </row>
    <row r="6" spans="1:32" x14ac:dyDescent="0.25">
      <c r="A6">
        <v>14692</v>
      </c>
      <c r="B6">
        <v>90</v>
      </c>
      <c r="C6">
        <v>2552</v>
      </c>
      <c r="D6">
        <v>0</v>
      </c>
      <c r="E6">
        <v>269</v>
      </c>
      <c r="F6">
        <v>12115</v>
      </c>
      <c r="G6">
        <v>15.74</v>
      </c>
      <c r="H6">
        <v>0.4</v>
      </c>
      <c r="I6">
        <v>7.93</v>
      </c>
      <c r="J6">
        <v>0</v>
      </c>
      <c r="K6">
        <v>0.56000000000000005</v>
      </c>
      <c r="L6">
        <v>25.09</v>
      </c>
      <c r="M6">
        <v>0.28000000000000003</v>
      </c>
      <c r="N6">
        <v>25.37</v>
      </c>
      <c r="O6">
        <v>26.7</v>
      </c>
      <c r="P6">
        <v>8.69</v>
      </c>
      <c r="Q6">
        <v>24.82</v>
      </c>
      <c r="R6">
        <v>33.46</v>
      </c>
      <c r="S6">
        <v>1.42</v>
      </c>
      <c r="T6">
        <v>2077</v>
      </c>
      <c r="U6">
        <v>1904</v>
      </c>
      <c r="V6">
        <v>1171</v>
      </c>
      <c r="W6">
        <v>1373</v>
      </c>
      <c r="X6">
        <v>6667</v>
      </c>
      <c r="Y6">
        <v>711</v>
      </c>
      <c r="Z6">
        <v>5537</v>
      </c>
      <c r="AA6">
        <v>2665</v>
      </c>
      <c r="AB6">
        <v>13.018000000000001</v>
      </c>
      <c r="AC6">
        <v>15580</v>
      </c>
      <c r="AD6">
        <v>0.8</v>
      </c>
      <c r="AE6" s="1">
        <v>0.40508072538067103</v>
      </c>
      <c r="AF6" s="10"/>
    </row>
    <row r="7" spans="1:32" x14ac:dyDescent="0.25">
      <c r="A7">
        <v>12142</v>
      </c>
      <c r="B7">
        <v>21</v>
      </c>
      <c r="C7">
        <v>2545</v>
      </c>
      <c r="D7">
        <v>1</v>
      </c>
      <c r="E7">
        <v>269</v>
      </c>
      <c r="F7">
        <v>12249</v>
      </c>
      <c r="G7">
        <v>13.01</v>
      </c>
      <c r="H7">
        <v>0.09</v>
      </c>
      <c r="I7">
        <v>7.91</v>
      </c>
      <c r="J7">
        <v>0</v>
      </c>
      <c r="K7">
        <v>0.56000000000000005</v>
      </c>
      <c r="L7">
        <v>25.37</v>
      </c>
      <c r="M7">
        <v>7.0000000000000007E-2</v>
      </c>
      <c r="N7">
        <v>25.3</v>
      </c>
      <c r="O7">
        <v>27.56</v>
      </c>
      <c r="P7">
        <v>6.53</v>
      </c>
      <c r="Q7">
        <v>24.82</v>
      </c>
      <c r="R7">
        <v>33.83</v>
      </c>
      <c r="S7">
        <v>0.81</v>
      </c>
      <c r="T7">
        <v>2077</v>
      </c>
      <c r="U7">
        <v>1904</v>
      </c>
      <c r="V7">
        <v>1184</v>
      </c>
      <c r="W7">
        <v>1544</v>
      </c>
      <c r="X7">
        <v>6799</v>
      </c>
      <c r="Y7">
        <v>654</v>
      </c>
      <c r="Z7">
        <v>5535</v>
      </c>
      <c r="AA7">
        <v>2262</v>
      </c>
      <c r="AB7">
        <v>13.935</v>
      </c>
      <c r="AC7">
        <v>15250</v>
      </c>
      <c r="AD7">
        <v>0.77</v>
      </c>
      <c r="AE7" s="1">
        <v>0.40699364909327401</v>
      </c>
      <c r="AF7" s="10"/>
    </row>
    <row r="8" spans="1:32" x14ac:dyDescent="0.25">
      <c r="A8">
        <v>13062</v>
      </c>
      <c r="B8">
        <v>124</v>
      </c>
      <c r="C8">
        <v>2506</v>
      </c>
      <c r="D8">
        <v>11</v>
      </c>
      <c r="E8">
        <v>353</v>
      </c>
      <c r="F8">
        <v>12189</v>
      </c>
      <c r="G8">
        <v>13.99</v>
      </c>
      <c r="H8">
        <v>0.55000000000000004</v>
      </c>
      <c r="I8">
        <v>7.79</v>
      </c>
      <c r="J8">
        <v>0.02</v>
      </c>
      <c r="K8">
        <v>0.73</v>
      </c>
      <c r="L8">
        <v>25.25</v>
      </c>
      <c r="M8">
        <v>0.38</v>
      </c>
      <c r="N8">
        <v>24.91</v>
      </c>
      <c r="O8">
        <v>26.79</v>
      </c>
      <c r="P8">
        <v>7.33</v>
      </c>
      <c r="Q8">
        <v>24.85</v>
      </c>
      <c r="R8">
        <v>33.659999999999997</v>
      </c>
      <c r="S8">
        <v>1.91</v>
      </c>
      <c r="T8">
        <v>2081</v>
      </c>
      <c r="U8">
        <v>1904</v>
      </c>
      <c r="V8">
        <v>1178</v>
      </c>
      <c r="W8">
        <v>1452</v>
      </c>
      <c r="X8">
        <v>6800</v>
      </c>
      <c r="Y8">
        <v>684</v>
      </c>
      <c r="Z8">
        <v>5521</v>
      </c>
      <c r="AA8">
        <v>2430</v>
      </c>
      <c r="AB8">
        <v>13.628</v>
      </c>
      <c r="AC8">
        <v>15435</v>
      </c>
      <c r="AD8">
        <v>0.77</v>
      </c>
      <c r="AE8" s="1">
        <v>0.40974825923942099</v>
      </c>
      <c r="AF8" s="10"/>
    </row>
    <row r="9" spans="1:32" x14ac:dyDescent="0.25">
      <c r="A9">
        <v>9189</v>
      </c>
      <c r="B9">
        <v>21</v>
      </c>
      <c r="C9">
        <v>2545</v>
      </c>
      <c r="D9">
        <v>7</v>
      </c>
      <c r="E9">
        <v>262</v>
      </c>
      <c r="F9">
        <v>12250</v>
      </c>
      <c r="G9">
        <v>9.84</v>
      </c>
      <c r="H9">
        <v>0.09</v>
      </c>
      <c r="I9">
        <v>7.91</v>
      </c>
      <c r="J9">
        <v>0.01</v>
      </c>
      <c r="K9">
        <v>0.54</v>
      </c>
      <c r="L9">
        <v>25.37</v>
      </c>
      <c r="M9">
        <v>0.06</v>
      </c>
      <c r="N9">
        <v>25.3</v>
      </c>
      <c r="O9">
        <v>28.43</v>
      </c>
      <c r="P9">
        <v>4.24</v>
      </c>
      <c r="Q9">
        <v>24.84</v>
      </c>
      <c r="R9">
        <v>33.83</v>
      </c>
      <c r="S9">
        <v>0.79</v>
      </c>
      <c r="T9">
        <v>2079</v>
      </c>
      <c r="U9">
        <v>1904</v>
      </c>
      <c r="V9">
        <v>1184</v>
      </c>
      <c r="W9">
        <v>1722</v>
      </c>
      <c r="X9">
        <v>6978</v>
      </c>
      <c r="Y9">
        <v>595</v>
      </c>
      <c r="Z9">
        <v>5533</v>
      </c>
      <c r="AA9">
        <v>1818</v>
      </c>
      <c r="AB9">
        <v>15.026999999999999</v>
      </c>
      <c r="AC9">
        <v>14924</v>
      </c>
      <c r="AD9">
        <v>0.74</v>
      </c>
      <c r="AE9" s="1">
        <v>0.41365062361312999</v>
      </c>
      <c r="AF9" s="10"/>
    </row>
    <row r="10" spans="1:32" x14ac:dyDescent="0.25">
      <c r="A10">
        <v>14035</v>
      </c>
      <c r="B10">
        <v>96</v>
      </c>
      <c r="C10">
        <v>2404</v>
      </c>
      <c r="D10">
        <v>8</v>
      </c>
      <c r="E10">
        <v>976</v>
      </c>
      <c r="F10">
        <v>12100</v>
      </c>
      <c r="G10">
        <v>15.04</v>
      </c>
      <c r="H10">
        <v>0.43</v>
      </c>
      <c r="I10">
        <v>7.47</v>
      </c>
      <c r="J10">
        <v>0.02</v>
      </c>
      <c r="K10">
        <v>2.02</v>
      </c>
      <c r="L10">
        <v>25.06</v>
      </c>
      <c r="M10">
        <v>0.3</v>
      </c>
      <c r="N10">
        <v>23.9</v>
      </c>
      <c r="O10">
        <v>26.39</v>
      </c>
      <c r="P10">
        <v>8.16</v>
      </c>
      <c r="Q10">
        <v>24.84</v>
      </c>
      <c r="R10">
        <v>33.42</v>
      </c>
      <c r="S10">
        <v>3.1</v>
      </c>
      <c r="T10">
        <v>2080</v>
      </c>
      <c r="U10">
        <v>1904</v>
      </c>
      <c r="V10">
        <v>1169</v>
      </c>
      <c r="W10">
        <v>1381</v>
      </c>
      <c r="X10">
        <v>6822</v>
      </c>
      <c r="Y10">
        <v>706</v>
      </c>
      <c r="Z10">
        <v>5489</v>
      </c>
      <c r="AA10">
        <v>2571</v>
      </c>
      <c r="AB10">
        <v>13.442</v>
      </c>
      <c r="AC10">
        <v>15588</v>
      </c>
      <c r="AD10">
        <v>0.78</v>
      </c>
      <c r="AE10" s="1">
        <v>0.41571658122274002</v>
      </c>
      <c r="AF10" s="10"/>
    </row>
    <row r="11" spans="1:32" x14ac:dyDescent="0.25">
      <c r="A11">
        <v>14860</v>
      </c>
      <c r="B11">
        <v>385</v>
      </c>
      <c r="C11">
        <v>2397</v>
      </c>
      <c r="D11">
        <v>241</v>
      </c>
      <c r="E11">
        <v>237</v>
      </c>
      <c r="F11">
        <v>12209</v>
      </c>
      <c r="G11">
        <v>15.92</v>
      </c>
      <c r="H11">
        <v>1.71</v>
      </c>
      <c r="I11">
        <v>7.45</v>
      </c>
      <c r="J11">
        <v>0.5</v>
      </c>
      <c r="K11">
        <v>0.49</v>
      </c>
      <c r="L11">
        <v>25.29</v>
      </c>
      <c r="M11">
        <v>1.2</v>
      </c>
      <c r="N11">
        <v>23.83</v>
      </c>
      <c r="O11">
        <v>25.01</v>
      </c>
      <c r="P11">
        <v>8.9700000000000006</v>
      </c>
      <c r="Q11">
        <v>25.44</v>
      </c>
      <c r="R11">
        <v>33.72</v>
      </c>
      <c r="S11">
        <v>3.96</v>
      </c>
      <c r="T11">
        <v>2167</v>
      </c>
      <c r="U11">
        <v>1904</v>
      </c>
      <c r="V11">
        <v>1180</v>
      </c>
      <c r="W11">
        <v>1250</v>
      </c>
      <c r="X11">
        <v>6863</v>
      </c>
      <c r="Y11">
        <v>750</v>
      </c>
      <c r="Z11">
        <v>5486</v>
      </c>
      <c r="AA11">
        <v>2776</v>
      </c>
      <c r="AB11">
        <v>13.021000000000001</v>
      </c>
      <c r="AC11">
        <v>15875</v>
      </c>
      <c r="AD11">
        <v>0.77</v>
      </c>
      <c r="AE11" s="1">
        <v>0.41632871681077299</v>
      </c>
      <c r="AF11" s="10"/>
    </row>
    <row r="12" spans="1:32" x14ac:dyDescent="0.25">
      <c r="A12">
        <v>10853</v>
      </c>
      <c r="B12">
        <v>92</v>
      </c>
      <c r="C12">
        <v>2582</v>
      </c>
      <c r="D12">
        <v>1</v>
      </c>
      <c r="E12">
        <v>480</v>
      </c>
      <c r="F12">
        <v>11753</v>
      </c>
      <c r="G12">
        <v>11.63</v>
      </c>
      <c r="H12">
        <v>0.41</v>
      </c>
      <c r="I12">
        <v>8.02</v>
      </c>
      <c r="J12">
        <v>0</v>
      </c>
      <c r="K12">
        <v>0.99</v>
      </c>
      <c r="L12">
        <v>24.34</v>
      </c>
      <c r="M12">
        <v>0.28999999999999998</v>
      </c>
      <c r="N12">
        <v>25.67</v>
      </c>
      <c r="O12">
        <v>27.72</v>
      </c>
      <c r="P12">
        <v>5.51</v>
      </c>
      <c r="Q12">
        <v>24.82</v>
      </c>
      <c r="R12">
        <v>32.46</v>
      </c>
      <c r="S12">
        <v>1.92</v>
      </c>
      <c r="T12">
        <v>2077</v>
      </c>
      <c r="U12">
        <v>1904</v>
      </c>
      <c r="V12">
        <v>1136</v>
      </c>
      <c r="W12">
        <v>1609</v>
      </c>
      <c r="X12">
        <v>6912</v>
      </c>
      <c r="Y12">
        <v>633</v>
      </c>
      <c r="Z12">
        <v>5547</v>
      </c>
      <c r="AA12">
        <v>2088</v>
      </c>
      <c r="AB12">
        <v>14.57</v>
      </c>
      <c r="AC12">
        <v>15180</v>
      </c>
      <c r="AD12">
        <v>0.75</v>
      </c>
      <c r="AE12" s="1">
        <v>0.416711301553294</v>
      </c>
      <c r="AF12" s="10"/>
    </row>
    <row r="13" spans="1:32" x14ac:dyDescent="0.25">
      <c r="A13">
        <v>7510</v>
      </c>
      <c r="B13">
        <v>19</v>
      </c>
      <c r="C13">
        <v>2541</v>
      </c>
      <c r="D13">
        <v>1</v>
      </c>
      <c r="E13">
        <v>364</v>
      </c>
      <c r="F13">
        <v>12178</v>
      </c>
      <c r="G13">
        <v>8.0500000000000007</v>
      </c>
      <c r="H13">
        <v>0.09</v>
      </c>
      <c r="I13">
        <v>7.89</v>
      </c>
      <c r="J13">
        <v>0</v>
      </c>
      <c r="K13">
        <v>0.75</v>
      </c>
      <c r="L13">
        <v>25.22</v>
      </c>
      <c r="M13">
        <v>0.06</v>
      </c>
      <c r="N13">
        <v>25.26</v>
      </c>
      <c r="O13">
        <v>29.04</v>
      </c>
      <c r="P13">
        <v>3.06</v>
      </c>
      <c r="Q13">
        <v>24.82</v>
      </c>
      <c r="R13">
        <v>33.630000000000003</v>
      </c>
      <c r="S13">
        <v>1.01</v>
      </c>
      <c r="T13">
        <v>2077</v>
      </c>
      <c r="U13">
        <v>1904</v>
      </c>
      <c r="V13">
        <v>1177</v>
      </c>
      <c r="W13">
        <v>1823</v>
      </c>
      <c r="X13">
        <v>7088</v>
      </c>
      <c r="Y13">
        <v>561</v>
      </c>
      <c r="Z13">
        <v>5533</v>
      </c>
      <c r="AA13">
        <v>1566</v>
      </c>
      <c r="AB13">
        <v>15.686</v>
      </c>
      <c r="AC13">
        <v>14748</v>
      </c>
      <c r="AD13">
        <v>0.73</v>
      </c>
      <c r="AE13" s="1">
        <v>0.41984849644196098</v>
      </c>
      <c r="AF13" s="10"/>
    </row>
    <row r="14" spans="1:32" x14ac:dyDescent="0.25">
      <c r="A14">
        <v>14737</v>
      </c>
      <c r="B14">
        <v>294</v>
      </c>
      <c r="C14">
        <v>2366</v>
      </c>
      <c r="D14">
        <v>18</v>
      </c>
      <c r="E14">
        <v>903</v>
      </c>
      <c r="F14">
        <v>12047</v>
      </c>
      <c r="G14">
        <v>15.79</v>
      </c>
      <c r="H14">
        <v>1.3</v>
      </c>
      <c r="I14">
        <v>7.35</v>
      </c>
      <c r="J14">
        <v>0.04</v>
      </c>
      <c r="K14">
        <v>1.87</v>
      </c>
      <c r="L14">
        <v>24.95</v>
      </c>
      <c r="M14">
        <v>0.91</v>
      </c>
      <c r="N14">
        <v>23.53</v>
      </c>
      <c r="O14">
        <v>25.32</v>
      </c>
      <c r="P14">
        <v>8.84</v>
      </c>
      <c r="Q14">
        <v>24.87</v>
      </c>
      <c r="R14">
        <v>33.270000000000003</v>
      </c>
      <c r="S14">
        <v>4.6900000000000004</v>
      </c>
      <c r="T14">
        <v>2083</v>
      </c>
      <c r="U14">
        <v>1904</v>
      </c>
      <c r="V14">
        <v>1164</v>
      </c>
      <c r="W14">
        <v>1277</v>
      </c>
      <c r="X14">
        <v>6853</v>
      </c>
      <c r="Y14">
        <v>741</v>
      </c>
      <c r="Z14">
        <v>5475</v>
      </c>
      <c r="AA14">
        <v>2732</v>
      </c>
      <c r="AB14">
        <v>13.17</v>
      </c>
      <c r="AC14">
        <v>15801</v>
      </c>
      <c r="AD14">
        <v>0.77</v>
      </c>
      <c r="AE14" s="1">
        <v>0.41992501339046601</v>
      </c>
      <c r="AF14" s="10"/>
    </row>
    <row r="15" spans="1:32" x14ac:dyDescent="0.25">
      <c r="A15">
        <v>12605</v>
      </c>
      <c r="B15">
        <v>149</v>
      </c>
      <c r="C15">
        <v>2397</v>
      </c>
      <c r="D15">
        <v>238</v>
      </c>
      <c r="E15">
        <v>717</v>
      </c>
      <c r="F15">
        <v>12086</v>
      </c>
      <c r="G15">
        <v>13.5</v>
      </c>
      <c r="H15">
        <v>0.66</v>
      </c>
      <c r="I15">
        <v>7.45</v>
      </c>
      <c r="J15">
        <v>0.49</v>
      </c>
      <c r="K15">
        <v>1.48</v>
      </c>
      <c r="L15">
        <v>25.03</v>
      </c>
      <c r="M15">
        <v>0.46</v>
      </c>
      <c r="N15">
        <v>23.83</v>
      </c>
      <c r="O15">
        <v>26.48</v>
      </c>
      <c r="P15">
        <v>6.98</v>
      </c>
      <c r="Q15">
        <v>25.44</v>
      </c>
      <c r="R15">
        <v>33.380000000000003</v>
      </c>
      <c r="S15">
        <v>2.97</v>
      </c>
      <c r="T15">
        <v>2166</v>
      </c>
      <c r="U15">
        <v>1904</v>
      </c>
      <c r="V15">
        <v>1168</v>
      </c>
      <c r="W15">
        <v>1452</v>
      </c>
      <c r="X15">
        <v>6966</v>
      </c>
      <c r="Y15">
        <v>683</v>
      </c>
      <c r="Z15">
        <v>5485</v>
      </c>
      <c r="AA15">
        <v>2371</v>
      </c>
      <c r="AB15">
        <v>14.010999999999999</v>
      </c>
      <c r="AC15">
        <v>15505</v>
      </c>
      <c r="AD15">
        <v>0.76</v>
      </c>
      <c r="AE15" s="1">
        <v>0.42000153033896998</v>
      </c>
      <c r="AF15" s="10"/>
    </row>
    <row r="16" spans="1:32" x14ac:dyDescent="0.25">
      <c r="A16">
        <v>10781</v>
      </c>
      <c r="B16">
        <v>260</v>
      </c>
      <c r="C16">
        <v>2480</v>
      </c>
      <c r="D16">
        <v>3</v>
      </c>
      <c r="E16">
        <v>489</v>
      </c>
      <c r="F16">
        <v>11983</v>
      </c>
      <c r="G16">
        <v>11.55</v>
      </c>
      <c r="H16">
        <v>1.1499999999999999</v>
      </c>
      <c r="I16">
        <v>7.7</v>
      </c>
      <c r="J16">
        <v>0.01</v>
      </c>
      <c r="K16">
        <v>1.01</v>
      </c>
      <c r="L16">
        <v>24.82</v>
      </c>
      <c r="M16">
        <v>0.81</v>
      </c>
      <c r="N16">
        <v>24.65</v>
      </c>
      <c r="O16">
        <v>26.74</v>
      </c>
      <c r="P16">
        <v>5.51</v>
      </c>
      <c r="Q16">
        <v>24.83</v>
      </c>
      <c r="R16">
        <v>33.090000000000003</v>
      </c>
      <c r="S16">
        <v>3.43</v>
      </c>
      <c r="T16">
        <v>2078</v>
      </c>
      <c r="U16">
        <v>1904</v>
      </c>
      <c r="V16">
        <v>1158</v>
      </c>
      <c r="W16">
        <v>1547</v>
      </c>
      <c r="X16">
        <v>7002</v>
      </c>
      <c r="Y16">
        <v>652</v>
      </c>
      <c r="Z16">
        <v>5513</v>
      </c>
      <c r="AA16">
        <v>2126</v>
      </c>
      <c r="AB16">
        <v>14.539</v>
      </c>
      <c r="AC16">
        <v>15293</v>
      </c>
      <c r="AD16">
        <v>0.73</v>
      </c>
      <c r="AE16" s="1">
        <v>0.42084321677251502</v>
      </c>
      <c r="AF16" s="10"/>
    </row>
    <row r="17" spans="1:32" x14ac:dyDescent="0.25">
      <c r="A17">
        <v>14035</v>
      </c>
      <c r="B17">
        <v>308</v>
      </c>
      <c r="C17">
        <v>2411</v>
      </c>
      <c r="D17">
        <v>4</v>
      </c>
      <c r="E17">
        <v>831</v>
      </c>
      <c r="F17">
        <v>11896</v>
      </c>
      <c r="G17">
        <v>15.04</v>
      </c>
      <c r="H17">
        <v>1.37</v>
      </c>
      <c r="I17">
        <v>7.49</v>
      </c>
      <c r="J17">
        <v>0.01</v>
      </c>
      <c r="K17">
        <v>1.72</v>
      </c>
      <c r="L17">
        <v>24.64</v>
      </c>
      <c r="M17">
        <v>0.96</v>
      </c>
      <c r="N17">
        <v>23.97</v>
      </c>
      <c r="O17">
        <v>25.54</v>
      </c>
      <c r="P17">
        <v>8.23</v>
      </c>
      <c r="Q17">
        <v>24.83</v>
      </c>
      <c r="R17">
        <v>32.85</v>
      </c>
      <c r="S17">
        <v>4.6500000000000004</v>
      </c>
      <c r="T17">
        <v>2078</v>
      </c>
      <c r="U17">
        <v>1904</v>
      </c>
      <c r="V17">
        <v>1150</v>
      </c>
      <c r="W17">
        <v>1324</v>
      </c>
      <c r="X17">
        <v>6876</v>
      </c>
      <c r="Y17">
        <v>725</v>
      </c>
      <c r="Z17">
        <v>5491</v>
      </c>
      <c r="AA17">
        <v>2630</v>
      </c>
      <c r="AB17">
        <v>13.438000000000001</v>
      </c>
      <c r="AC17">
        <v>15722</v>
      </c>
      <c r="AD17">
        <v>0.76</v>
      </c>
      <c r="AE17" s="1">
        <v>0.42099625066952301</v>
      </c>
      <c r="AF17" s="10"/>
    </row>
    <row r="18" spans="1:32" x14ac:dyDescent="0.25">
      <c r="A18">
        <v>8648</v>
      </c>
      <c r="B18">
        <v>181</v>
      </c>
      <c r="C18">
        <v>2490</v>
      </c>
      <c r="D18">
        <v>1</v>
      </c>
      <c r="E18">
        <v>364</v>
      </c>
      <c r="F18">
        <v>12178</v>
      </c>
      <c r="G18">
        <v>9.26</v>
      </c>
      <c r="H18">
        <v>0.8</v>
      </c>
      <c r="I18">
        <v>7.74</v>
      </c>
      <c r="J18">
        <v>0</v>
      </c>
      <c r="K18">
        <v>0.75</v>
      </c>
      <c r="L18">
        <v>25.22</v>
      </c>
      <c r="M18">
        <v>0.56000000000000005</v>
      </c>
      <c r="N18">
        <v>24.76</v>
      </c>
      <c r="O18">
        <v>27.77</v>
      </c>
      <c r="P18">
        <v>3.88</v>
      </c>
      <c r="Q18">
        <v>24.82</v>
      </c>
      <c r="R18">
        <v>33.630000000000003</v>
      </c>
      <c r="S18">
        <v>2.44</v>
      </c>
      <c r="T18">
        <v>2077</v>
      </c>
      <c r="U18">
        <v>1904</v>
      </c>
      <c r="V18">
        <v>1177</v>
      </c>
      <c r="W18">
        <v>1699</v>
      </c>
      <c r="X18">
        <v>7088</v>
      </c>
      <c r="Y18">
        <v>602</v>
      </c>
      <c r="Z18">
        <v>5515</v>
      </c>
      <c r="AA18">
        <v>1783</v>
      </c>
      <c r="AB18">
        <v>15.257</v>
      </c>
      <c r="AC18">
        <v>14988</v>
      </c>
      <c r="AD18">
        <v>0.72</v>
      </c>
      <c r="AE18" s="1">
        <v>0.42107276761802698</v>
      </c>
      <c r="AF18" s="10"/>
    </row>
    <row r="19" spans="1:32" x14ac:dyDescent="0.25">
      <c r="A19">
        <v>14043</v>
      </c>
      <c r="B19">
        <v>465</v>
      </c>
      <c r="C19">
        <v>2322</v>
      </c>
      <c r="D19">
        <v>5</v>
      </c>
      <c r="E19">
        <v>735</v>
      </c>
      <c r="F19">
        <v>12183</v>
      </c>
      <c r="G19">
        <v>15.04</v>
      </c>
      <c r="H19">
        <v>2.06</v>
      </c>
      <c r="I19">
        <v>7.22</v>
      </c>
      <c r="J19">
        <v>0.01</v>
      </c>
      <c r="K19">
        <v>1.52</v>
      </c>
      <c r="L19">
        <v>25.24</v>
      </c>
      <c r="M19">
        <v>1.44</v>
      </c>
      <c r="N19">
        <v>23.09</v>
      </c>
      <c r="O19">
        <v>24.64</v>
      </c>
      <c r="P19">
        <v>8.31</v>
      </c>
      <c r="Q19">
        <v>24.83</v>
      </c>
      <c r="R19">
        <v>33.65</v>
      </c>
      <c r="S19">
        <v>5.82</v>
      </c>
      <c r="T19">
        <v>2078</v>
      </c>
      <c r="U19">
        <v>1904</v>
      </c>
      <c r="V19">
        <v>1177</v>
      </c>
      <c r="W19">
        <v>1263</v>
      </c>
      <c r="X19">
        <v>6943</v>
      </c>
      <c r="Y19">
        <v>745</v>
      </c>
      <c r="Z19">
        <v>5460</v>
      </c>
      <c r="AA19">
        <v>2676</v>
      </c>
      <c r="AB19">
        <v>13.339</v>
      </c>
      <c r="AC19">
        <v>15824</v>
      </c>
      <c r="AD19">
        <v>0.75</v>
      </c>
      <c r="AE19" s="1">
        <v>0.42306220827913299</v>
      </c>
      <c r="AF19" s="10"/>
    </row>
    <row r="20" spans="1:32" x14ac:dyDescent="0.25">
      <c r="A20">
        <v>7549</v>
      </c>
      <c r="B20">
        <v>165</v>
      </c>
      <c r="C20">
        <v>2486</v>
      </c>
      <c r="D20">
        <v>9</v>
      </c>
      <c r="E20">
        <v>480</v>
      </c>
      <c r="F20">
        <v>12098</v>
      </c>
      <c r="G20">
        <v>8.09</v>
      </c>
      <c r="H20">
        <v>0.73</v>
      </c>
      <c r="I20">
        <v>7.72</v>
      </c>
      <c r="J20">
        <v>0.02</v>
      </c>
      <c r="K20">
        <v>0.99</v>
      </c>
      <c r="L20">
        <v>25.06</v>
      </c>
      <c r="M20">
        <v>0.51</v>
      </c>
      <c r="N20">
        <v>24.71</v>
      </c>
      <c r="O20">
        <v>28.24</v>
      </c>
      <c r="P20">
        <v>3.11</v>
      </c>
      <c r="Q20">
        <v>24.84</v>
      </c>
      <c r="R20">
        <v>33.409999999999997</v>
      </c>
      <c r="S20">
        <v>2.57</v>
      </c>
      <c r="T20">
        <v>2080</v>
      </c>
      <c r="U20">
        <v>1904</v>
      </c>
      <c r="V20">
        <v>1169</v>
      </c>
      <c r="W20">
        <v>1769</v>
      </c>
      <c r="X20">
        <v>7164</v>
      </c>
      <c r="Y20">
        <v>578</v>
      </c>
      <c r="Z20">
        <v>5515</v>
      </c>
      <c r="AA20">
        <v>1614</v>
      </c>
      <c r="AB20">
        <v>15.715</v>
      </c>
      <c r="AC20">
        <v>14871</v>
      </c>
      <c r="AD20">
        <v>0.71</v>
      </c>
      <c r="AE20" s="1">
        <v>0.42581681842528102</v>
      </c>
      <c r="AF20" s="10"/>
    </row>
    <row r="21" spans="1:32" x14ac:dyDescent="0.25">
      <c r="A21">
        <v>6139</v>
      </c>
      <c r="B21">
        <v>42</v>
      </c>
      <c r="C21">
        <v>2581</v>
      </c>
      <c r="D21">
        <v>12</v>
      </c>
      <c r="E21">
        <v>358</v>
      </c>
      <c r="F21">
        <v>11947</v>
      </c>
      <c r="G21">
        <v>6.58</v>
      </c>
      <c r="H21">
        <v>0.19</v>
      </c>
      <c r="I21">
        <v>8.02</v>
      </c>
      <c r="J21">
        <v>0.03</v>
      </c>
      <c r="K21">
        <v>0.74</v>
      </c>
      <c r="L21">
        <v>24.75</v>
      </c>
      <c r="M21">
        <v>0.13</v>
      </c>
      <c r="N21">
        <v>25.66</v>
      </c>
      <c r="O21">
        <v>29.66</v>
      </c>
      <c r="P21">
        <v>2.1800000000000002</v>
      </c>
      <c r="Q21">
        <v>24.85</v>
      </c>
      <c r="R21">
        <v>32.99</v>
      </c>
      <c r="S21">
        <v>1.19</v>
      </c>
      <c r="T21">
        <v>2081</v>
      </c>
      <c r="U21">
        <v>1904</v>
      </c>
      <c r="V21">
        <v>1155</v>
      </c>
      <c r="W21">
        <v>1907</v>
      </c>
      <c r="X21">
        <v>7170</v>
      </c>
      <c r="Y21">
        <v>534</v>
      </c>
      <c r="Z21">
        <v>5547</v>
      </c>
      <c r="AA21">
        <v>1365</v>
      </c>
      <c r="AB21">
        <v>16.247</v>
      </c>
      <c r="AC21">
        <v>14616</v>
      </c>
      <c r="AD21">
        <v>0.72</v>
      </c>
      <c r="AE21" s="1">
        <v>0.42619940316780103</v>
      </c>
      <c r="AF21" s="10"/>
    </row>
    <row r="22" spans="1:32" x14ac:dyDescent="0.25">
      <c r="A22">
        <v>13801</v>
      </c>
      <c r="B22">
        <v>361</v>
      </c>
      <c r="C22">
        <v>2328</v>
      </c>
      <c r="D22">
        <v>8</v>
      </c>
      <c r="E22">
        <v>1110</v>
      </c>
      <c r="F22">
        <v>11933</v>
      </c>
      <c r="G22">
        <v>14.78</v>
      </c>
      <c r="H22">
        <v>1.6</v>
      </c>
      <c r="I22">
        <v>7.23</v>
      </c>
      <c r="J22">
        <v>0.02</v>
      </c>
      <c r="K22">
        <v>2.2999999999999998</v>
      </c>
      <c r="L22">
        <v>24.72</v>
      </c>
      <c r="M22">
        <v>1.1200000000000001</v>
      </c>
      <c r="N22">
        <v>23.14</v>
      </c>
      <c r="O22">
        <v>25.13</v>
      </c>
      <c r="P22">
        <v>8.07</v>
      </c>
      <c r="Q22">
        <v>24.84</v>
      </c>
      <c r="R22">
        <v>32.96</v>
      </c>
      <c r="S22">
        <v>5.76</v>
      </c>
      <c r="T22">
        <v>2080</v>
      </c>
      <c r="U22">
        <v>1904</v>
      </c>
      <c r="V22">
        <v>1153</v>
      </c>
      <c r="W22">
        <v>1307</v>
      </c>
      <c r="X22">
        <v>6961</v>
      </c>
      <c r="Y22">
        <v>730</v>
      </c>
      <c r="Z22">
        <v>5461</v>
      </c>
      <c r="AA22">
        <v>2611</v>
      </c>
      <c r="AB22">
        <v>13.584</v>
      </c>
      <c r="AC22">
        <v>15763</v>
      </c>
      <c r="AD22">
        <v>0.75</v>
      </c>
      <c r="AE22" s="1">
        <v>0.42642895401331399</v>
      </c>
      <c r="AF22" s="10"/>
    </row>
    <row r="23" spans="1:32" x14ac:dyDescent="0.25">
      <c r="A23">
        <v>10608</v>
      </c>
      <c r="B23">
        <v>517</v>
      </c>
      <c r="C23">
        <v>2359</v>
      </c>
      <c r="D23">
        <v>1</v>
      </c>
      <c r="E23">
        <v>501</v>
      </c>
      <c r="F23">
        <v>12169</v>
      </c>
      <c r="G23">
        <v>11.36</v>
      </c>
      <c r="H23">
        <v>2.29</v>
      </c>
      <c r="I23">
        <v>7.33</v>
      </c>
      <c r="J23">
        <v>0</v>
      </c>
      <c r="K23">
        <v>1.04</v>
      </c>
      <c r="L23">
        <v>25.2</v>
      </c>
      <c r="M23">
        <v>1.61</v>
      </c>
      <c r="N23">
        <v>23.45</v>
      </c>
      <c r="O23">
        <v>25.36</v>
      </c>
      <c r="P23">
        <v>5.47</v>
      </c>
      <c r="Q23">
        <v>24.82</v>
      </c>
      <c r="R23">
        <v>33.61</v>
      </c>
      <c r="S23">
        <v>5.74</v>
      </c>
      <c r="T23">
        <v>2077</v>
      </c>
      <c r="U23">
        <v>1904</v>
      </c>
      <c r="V23">
        <v>1176</v>
      </c>
      <c r="W23">
        <v>1462</v>
      </c>
      <c r="X23">
        <v>7134</v>
      </c>
      <c r="Y23">
        <v>679</v>
      </c>
      <c r="Z23">
        <v>5472</v>
      </c>
      <c r="AA23">
        <v>2174</v>
      </c>
      <c r="AB23">
        <v>14.55</v>
      </c>
      <c r="AC23">
        <v>15459</v>
      </c>
      <c r="AD23">
        <v>0.7</v>
      </c>
      <c r="AE23" s="1">
        <v>0.427882776034891</v>
      </c>
      <c r="AF23" s="10"/>
    </row>
    <row r="24" spans="1:32" x14ac:dyDescent="0.25">
      <c r="A24">
        <v>10903</v>
      </c>
      <c r="B24">
        <v>523</v>
      </c>
      <c r="C24">
        <v>2337</v>
      </c>
      <c r="D24">
        <v>4</v>
      </c>
      <c r="E24">
        <v>581</v>
      </c>
      <c r="F24">
        <v>12180</v>
      </c>
      <c r="G24">
        <v>11.68</v>
      </c>
      <c r="H24">
        <v>2.3199999999999998</v>
      </c>
      <c r="I24">
        <v>7.26</v>
      </c>
      <c r="J24">
        <v>0.01</v>
      </c>
      <c r="K24">
        <v>1.2</v>
      </c>
      <c r="L24">
        <v>25.23</v>
      </c>
      <c r="M24">
        <v>1.62</v>
      </c>
      <c r="N24">
        <v>23.24</v>
      </c>
      <c r="O24">
        <v>25.2</v>
      </c>
      <c r="P24">
        <v>5.71</v>
      </c>
      <c r="Q24">
        <v>24.83</v>
      </c>
      <c r="R24">
        <v>33.64</v>
      </c>
      <c r="S24">
        <v>5.98</v>
      </c>
      <c r="T24">
        <v>2078</v>
      </c>
      <c r="U24">
        <v>1904</v>
      </c>
      <c r="V24">
        <v>1177</v>
      </c>
      <c r="W24">
        <v>1439</v>
      </c>
      <c r="X24">
        <v>7132</v>
      </c>
      <c r="Y24">
        <v>687</v>
      </c>
      <c r="Z24">
        <v>5467</v>
      </c>
      <c r="AA24">
        <v>2220</v>
      </c>
      <c r="AB24">
        <v>14.459</v>
      </c>
      <c r="AC24">
        <v>15506</v>
      </c>
      <c r="AD24">
        <v>0.7</v>
      </c>
      <c r="AE24" s="1">
        <v>0.42857142857142799</v>
      </c>
      <c r="AF24" s="10"/>
    </row>
    <row r="25" spans="1:32" x14ac:dyDescent="0.25">
      <c r="A25">
        <v>7510</v>
      </c>
      <c r="B25">
        <v>116</v>
      </c>
      <c r="C25">
        <v>2551</v>
      </c>
      <c r="D25">
        <v>1</v>
      </c>
      <c r="E25">
        <v>683</v>
      </c>
      <c r="F25">
        <v>11667</v>
      </c>
      <c r="G25">
        <v>8.0500000000000007</v>
      </c>
      <c r="H25">
        <v>0.52</v>
      </c>
      <c r="I25">
        <v>7.92</v>
      </c>
      <c r="J25">
        <v>0</v>
      </c>
      <c r="K25">
        <v>1.41</v>
      </c>
      <c r="L25">
        <v>24.16</v>
      </c>
      <c r="M25">
        <v>0.36</v>
      </c>
      <c r="N25">
        <v>25.36</v>
      </c>
      <c r="O25">
        <v>28.65</v>
      </c>
      <c r="P25">
        <v>3.07</v>
      </c>
      <c r="Q25">
        <v>24.82</v>
      </c>
      <c r="R25">
        <v>32.22</v>
      </c>
      <c r="S25">
        <v>2.6</v>
      </c>
      <c r="T25">
        <v>2077</v>
      </c>
      <c r="U25">
        <v>1904</v>
      </c>
      <c r="V25">
        <v>1127</v>
      </c>
      <c r="W25">
        <v>1798</v>
      </c>
      <c r="X25">
        <v>7151</v>
      </c>
      <c r="Y25">
        <v>570</v>
      </c>
      <c r="Z25">
        <v>5537</v>
      </c>
      <c r="AA25">
        <v>1593</v>
      </c>
      <c r="AB25">
        <v>15.874000000000001</v>
      </c>
      <c r="AC25">
        <v>14851</v>
      </c>
      <c r="AD25">
        <v>0.72</v>
      </c>
      <c r="AE25" s="1">
        <v>0.42903053026245302</v>
      </c>
      <c r="AF25" s="10"/>
    </row>
    <row r="26" spans="1:32" x14ac:dyDescent="0.25">
      <c r="A26">
        <v>14783</v>
      </c>
      <c r="B26">
        <v>663</v>
      </c>
      <c r="C26">
        <v>2308</v>
      </c>
      <c r="D26">
        <v>72</v>
      </c>
      <c r="E26">
        <v>665</v>
      </c>
      <c r="F26">
        <v>11958</v>
      </c>
      <c r="G26">
        <v>15.84</v>
      </c>
      <c r="H26">
        <v>2.94</v>
      </c>
      <c r="I26">
        <v>7.17</v>
      </c>
      <c r="J26">
        <v>0.15</v>
      </c>
      <c r="K26">
        <v>1.38</v>
      </c>
      <c r="L26">
        <v>24.77</v>
      </c>
      <c r="M26">
        <v>2.06</v>
      </c>
      <c r="N26">
        <v>22.95</v>
      </c>
      <c r="O26">
        <v>23.65</v>
      </c>
      <c r="P26">
        <v>9.0399999999999991</v>
      </c>
      <c r="Q26">
        <v>25.01</v>
      </c>
      <c r="R26">
        <v>33.03</v>
      </c>
      <c r="S26">
        <v>7.41</v>
      </c>
      <c r="T26">
        <v>2103</v>
      </c>
      <c r="U26">
        <v>1904</v>
      </c>
      <c r="V26">
        <v>1156</v>
      </c>
      <c r="W26">
        <v>1160</v>
      </c>
      <c r="X26">
        <v>6982</v>
      </c>
      <c r="Y26">
        <v>779</v>
      </c>
      <c r="Z26">
        <v>5456</v>
      </c>
      <c r="AA26">
        <v>2843</v>
      </c>
      <c r="AB26">
        <v>13.118</v>
      </c>
      <c r="AC26">
        <v>16060</v>
      </c>
      <c r="AD26">
        <v>0.74</v>
      </c>
      <c r="AE26" s="1">
        <v>0.42903053026245302</v>
      </c>
      <c r="AF26" s="10"/>
    </row>
    <row r="27" spans="1:32" x14ac:dyDescent="0.25">
      <c r="A27">
        <v>5607</v>
      </c>
      <c r="B27">
        <v>23</v>
      </c>
      <c r="C27">
        <v>2587</v>
      </c>
      <c r="D27">
        <v>13</v>
      </c>
      <c r="E27">
        <v>559</v>
      </c>
      <c r="F27">
        <v>11745</v>
      </c>
      <c r="G27">
        <v>6.01</v>
      </c>
      <c r="H27">
        <v>0.1</v>
      </c>
      <c r="I27">
        <v>8.0399999999999991</v>
      </c>
      <c r="J27">
        <v>0.03</v>
      </c>
      <c r="K27">
        <v>1.1599999999999999</v>
      </c>
      <c r="L27">
        <v>24.33</v>
      </c>
      <c r="M27">
        <v>7.0000000000000007E-2</v>
      </c>
      <c r="N27">
        <v>25.72</v>
      </c>
      <c r="O27">
        <v>30.02</v>
      </c>
      <c r="P27">
        <v>1.87</v>
      </c>
      <c r="Q27">
        <v>24.85</v>
      </c>
      <c r="R27">
        <v>32.44</v>
      </c>
      <c r="S27">
        <v>1.49</v>
      </c>
      <c r="T27">
        <v>2081</v>
      </c>
      <c r="U27">
        <v>1904</v>
      </c>
      <c r="V27">
        <v>1135</v>
      </c>
      <c r="W27">
        <v>1945</v>
      </c>
      <c r="X27">
        <v>7215</v>
      </c>
      <c r="Y27">
        <v>521</v>
      </c>
      <c r="Z27">
        <v>5548</v>
      </c>
      <c r="AA27">
        <v>1280</v>
      </c>
      <c r="AB27">
        <v>16.54</v>
      </c>
      <c r="AC27">
        <v>14564</v>
      </c>
      <c r="AD27">
        <v>0.72</v>
      </c>
      <c r="AE27" s="1">
        <v>0.431249521769071</v>
      </c>
      <c r="AF27" s="10"/>
    </row>
    <row r="28" spans="1:32" x14ac:dyDescent="0.25">
      <c r="A28">
        <v>14850</v>
      </c>
      <c r="B28">
        <v>952</v>
      </c>
      <c r="C28">
        <v>2246</v>
      </c>
      <c r="D28">
        <v>7</v>
      </c>
      <c r="E28">
        <v>368</v>
      </c>
      <c r="F28">
        <v>12184</v>
      </c>
      <c r="G28">
        <v>15.91</v>
      </c>
      <c r="H28">
        <v>4.22</v>
      </c>
      <c r="I28">
        <v>6.98</v>
      </c>
      <c r="J28">
        <v>0.01</v>
      </c>
      <c r="K28">
        <v>0.76</v>
      </c>
      <c r="L28">
        <v>25.24</v>
      </c>
      <c r="M28">
        <v>2.96</v>
      </c>
      <c r="N28">
        <v>22.33</v>
      </c>
      <c r="O28">
        <v>22.31</v>
      </c>
      <c r="P28">
        <v>9.24</v>
      </c>
      <c r="Q28">
        <v>24.84</v>
      </c>
      <c r="R28">
        <v>33.65</v>
      </c>
      <c r="S28">
        <v>9.2899999999999991</v>
      </c>
      <c r="T28">
        <v>2079</v>
      </c>
      <c r="U28">
        <v>1904</v>
      </c>
      <c r="V28">
        <v>1177</v>
      </c>
      <c r="W28">
        <v>1064</v>
      </c>
      <c r="X28">
        <v>7044</v>
      </c>
      <c r="Y28">
        <v>811</v>
      </c>
      <c r="Z28">
        <v>5436</v>
      </c>
      <c r="AA28">
        <v>2935</v>
      </c>
      <c r="AB28">
        <v>12.923999999999999</v>
      </c>
      <c r="AC28">
        <v>16226</v>
      </c>
      <c r="AD28">
        <v>0.71</v>
      </c>
      <c r="AE28" s="1">
        <v>0.43186165735710402</v>
      </c>
      <c r="AF28" s="10"/>
    </row>
    <row r="29" spans="1:32" x14ac:dyDescent="0.25">
      <c r="A29">
        <v>10886</v>
      </c>
      <c r="B29">
        <v>775</v>
      </c>
      <c r="C29">
        <v>2301</v>
      </c>
      <c r="D29">
        <v>1</v>
      </c>
      <c r="E29">
        <v>364</v>
      </c>
      <c r="F29">
        <v>12193</v>
      </c>
      <c r="G29">
        <v>11.66</v>
      </c>
      <c r="H29">
        <v>3.44</v>
      </c>
      <c r="I29">
        <v>7.15</v>
      </c>
      <c r="J29">
        <v>0</v>
      </c>
      <c r="K29">
        <v>0.75</v>
      </c>
      <c r="L29">
        <v>25.26</v>
      </c>
      <c r="M29">
        <v>2.41</v>
      </c>
      <c r="N29">
        <v>22.88</v>
      </c>
      <c r="O29">
        <v>24.06</v>
      </c>
      <c r="P29">
        <v>5.79</v>
      </c>
      <c r="Q29">
        <v>24.82</v>
      </c>
      <c r="R29">
        <v>33.67</v>
      </c>
      <c r="S29">
        <v>7.72</v>
      </c>
      <c r="T29">
        <v>2077</v>
      </c>
      <c r="U29">
        <v>1904</v>
      </c>
      <c r="V29">
        <v>1178</v>
      </c>
      <c r="W29">
        <v>1362</v>
      </c>
      <c r="X29">
        <v>7206</v>
      </c>
      <c r="Y29">
        <v>712</v>
      </c>
      <c r="Z29">
        <v>5454</v>
      </c>
      <c r="AA29">
        <v>2289</v>
      </c>
      <c r="AB29">
        <v>14.394</v>
      </c>
      <c r="AC29">
        <v>15661</v>
      </c>
      <c r="AD29">
        <v>0.68</v>
      </c>
      <c r="AE29" s="1">
        <v>0.43308592853317002</v>
      </c>
      <c r="AF29" s="10"/>
    </row>
    <row r="30" spans="1:32" x14ac:dyDescent="0.25">
      <c r="A30">
        <v>10861</v>
      </c>
      <c r="B30">
        <v>734</v>
      </c>
      <c r="C30">
        <v>2328</v>
      </c>
      <c r="D30">
        <v>12</v>
      </c>
      <c r="E30">
        <v>410</v>
      </c>
      <c r="F30">
        <v>12069</v>
      </c>
      <c r="G30">
        <v>11.64</v>
      </c>
      <c r="H30">
        <v>3.26</v>
      </c>
      <c r="I30">
        <v>7.23</v>
      </c>
      <c r="J30">
        <v>0.02</v>
      </c>
      <c r="K30">
        <v>0.85</v>
      </c>
      <c r="L30">
        <v>25</v>
      </c>
      <c r="M30">
        <v>2.2799999999999998</v>
      </c>
      <c r="N30">
        <v>23.15</v>
      </c>
      <c r="O30">
        <v>24.31</v>
      </c>
      <c r="P30">
        <v>5.75</v>
      </c>
      <c r="Q30">
        <v>24.85</v>
      </c>
      <c r="R30">
        <v>33.33</v>
      </c>
      <c r="S30">
        <v>7.46</v>
      </c>
      <c r="T30">
        <v>2081</v>
      </c>
      <c r="U30">
        <v>1904</v>
      </c>
      <c r="V30">
        <v>1166</v>
      </c>
      <c r="W30">
        <v>1381</v>
      </c>
      <c r="X30">
        <v>7194</v>
      </c>
      <c r="Y30">
        <v>706</v>
      </c>
      <c r="Z30">
        <v>5463</v>
      </c>
      <c r="AA30">
        <v>2274</v>
      </c>
      <c r="AB30">
        <v>14.449</v>
      </c>
      <c r="AC30">
        <v>15637</v>
      </c>
      <c r="AD30">
        <v>0.68</v>
      </c>
      <c r="AE30" s="1">
        <v>0.43323896243017801</v>
      </c>
      <c r="AF30" s="10"/>
    </row>
    <row r="31" spans="1:32" x14ac:dyDescent="0.25">
      <c r="A31">
        <v>5964</v>
      </c>
      <c r="B31">
        <v>119</v>
      </c>
      <c r="C31">
        <v>2463</v>
      </c>
      <c r="D31">
        <v>11</v>
      </c>
      <c r="E31">
        <v>721</v>
      </c>
      <c r="F31">
        <v>12034</v>
      </c>
      <c r="G31">
        <v>6.39</v>
      </c>
      <c r="H31">
        <v>0.53</v>
      </c>
      <c r="I31">
        <v>7.65</v>
      </c>
      <c r="J31">
        <v>0.02</v>
      </c>
      <c r="K31">
        <v>1.49</v>
      </c>
      <c r="L31">
        <v>24.93</v>
      </c>
      <c r="M31">
        <v>0.37</v>
      </c>
      <c r="N31">
        <v>24.49</v>
      </c>
      <c r="O31">
        <v>29.06</v>
      </c>
      <c r="P31">
        <v>2.1</v>
      </c>
      <c r="Q31">
        <v>24.85</v>
      </c>
      <c r="R31">
        <v>33.229999999999997</v>
      </c>
      <c r="S31">
        <v>2.72</v>
      </c>
      <c r="T31">
        <v>2081</v>
      </c>
      <c r="U31">
        <v>1904</v>
      </c>
      <c r="V31">
        <v>1163</v>
      </c>
      <c r="W31">
        <v>1873</v>
      </c>
      <c r="X31">
        <v>7275</v>
      </c>
      <c r="Y31">
        <v>543</v>
      </c>
      <c r="Z31">
        <v>5508</v>
      </c>
      <c r="AA31">
        <v>1363</v>
      </c>
      <c r="AB31">
        <v>16.378</v>
      </c>
      <c r="AC31">
        <v>14689</v>
      </c>
      <c r="AD31">
        <v>0.71</v>
      </c>
      <c r="AE31" s="1">
        <v>0.43331547937868198</v>
      </c>
      <c r="AF31" s="10"/>
    </row>
    <row r="32" spans="1:32" x14ac:dyDescent="0.25">
      <c r="A32">
        <v>7807</v>
      </c>
      <c r="B32">
        <v>476</v>
      </c>
      <c r="C32">
        <v>2383</v>
      </c>
      <c r="D32">
        <v>8</v>
      </c>
      <c r="E32">
        <v>468</v>
      </c>
      <c r="F32">
        <v>12137</v>
      </c>
      <c r="G32">
        <v>8.36</v>
      </c>
      <c r="H32">
        <v>2.11</v>
      </c>
      <c r="I32">
        <v>7.4</v>
      </c>
      <c r="J32">
        <v>0.02</v>
      </c>
      <c r="K32">
        <v>0.97</v>
      </c>
      <c r="L32">
        <v>25.14</v>
      </c>
      <c r="M32">
        <v>1.48</v>
      </c>
      <c r="N32">
        <v>23.7</v>
      </c>
      <c r="O32">
        <v>26.51</v>
      </c>
      <c r="P32">
        <v>3.36</v>
      </c>
      <c r="Q32">
        <v>24.84</v>
      </c>
      <c r="R32">
        <v>33.520000000000003</v>
      </c>
      <c r="S32">
        <v>5.3</v>
      </c>
      <c r="T32">
        <v>2080</v>
      </c>
      <c r="U32">
        <v>1904</v>
      </c>
      <c r="V32">
        <v>1173</v>
      </c>
      <c r="W32">
        <v>1647</v>
      </c>
      <c r="X32">
        <v>7281</v>
      </c>
      <c r="Y32">
        <v>618</v>
      </c>
      <c r="Z32">
        <v>5480</v>
      </c>
      <c r="AA32">
        <v>1741</v>
      </c>
      <c r="AB32">
        <v>15.59</v>
      </c>
      <c r="AC32">
        <v>15120</v>
      </c>
      <c r="AD32">
        <v>0.68</v>
      </c>
      <c r="AE32" s="1">
        <v>0.43346851327569003</v>
      </c>
      <c r="AF32" s="10"/>
    </row>
    <row r="33" spans="1:32" x14ac:dyDescent="0.25">
      <c r="A33">
        <v>13098</v>
      </c>
      <c r="B33">
        <v>779</v>
      </c>
      <c r="C33">
        <v>2257</v>
      </c>
      <c r="D33">
        <v>0</v>
      </c>
      <c r="E33">
        <v>706</v>
      </c>
      <c r="F33">
        <v>12058</v>
      </c>
      <c r="G33">
        <v>14.03</v>
      </c>
      <c r="H33">
        <v>3.46</v>
      </c>
      <c r="I33">
        <v>7.01</v>
      </c>
      <c r="J33">
        <v>0</v>
      </c>
      <c r="K33">
        <v>1.46</v>
      </c>
      <c r="L33">
        <v>24.98</v>
      </c>
      <c r="M33">
        <v>2.42</v>
      </c>
      <c r="N33">
        <v>22.44</v>
      </c>
      <c r="O33">
        <v>23.38</v>
      </c>
      <c r="P33">
        <v>7.64</v>
      </c>
      <c r="Q33">
        <v>24.82</v>
      </c>
      <c r="R33">
        <v>33.299999999999997</v>
      </c>
      <c r="S33">
        <v>8.5500000000000007</v>
      </c>
      <c r="T33">
        <v>2077</v>
      </c>
      <c r="U33">
        <v>1904</v>
      </c>
      <c r="V33">
        <v>1165</v>
      </c>
      <c r="W33">
        <v>1219</v>
      </c>
      <c r="X33">
        <v>7121</v>
      </c>
      <c r="Y33">
        <v>759</v>
      </c>
      <c r="Z33">
        <v>5439</v>
      </c>
      <c r="AA33">
        <v>2624</v>
      </c>
      <c r="AB33">
        <v>13.69</v>
      </c>
      <c r="AC33">
        <v>15943</v>
      </c>
      <c r="AD33">
        <v>0.7</v>
      </c>
      <c r="AE33" s="1">
        <v>0.43423368276073099</v>
      </c>
      <c r="AF33" s="10"/>
    </row>
    <row r="34" spans="1:32" x14ac:dyDescent="0.25">
      <c r="A34">
        <v>14591</v>
      </c>
      <c r="B34">
        <v>831</v>
      </c>
      <c r="C34">
        <v>2264</v>
      </c>
      <c r="D34">
        <v>16</v>
      </c>
      <c r="E34">
        <v>714</v>
      </c>
      <c r="F34">
        <v>11925</v>
      </c>
      <c r="G34">
        <v>15.63</v>
      </c>
      <c r="H34">
        <v>3.69</v>
      </c>
      <c r="I34">
        <v>7.03</v>
      </c>
      <c r="J34">
        <v>0.03</v>
      </c>
      <c r="K34">
        <v>1.48</v>
      </c>
      <c r="L34">
        <v>24.7</v>
      </c>
      <c r="M34">
        <v>2.58</v>
      </c>
      <c r="N34">
        <v>22.51</v>
      </c>
      <c r="O34">
        <v>22.89</v>
      </c>
      <c r="P34">
        <v>8.9499999999999993</v>
      </c>
      <c r="Q34">
        <v>24.86</v>
      </c>
      <c r="R34">
        <v>32.93</v>
      </c>
      <c r="S34">
        <v>9.02</v>
      </c>
      <c r="T34">
        <v>2083</v>
      </c>
      <c r="U34">
        <v>1904</v>
      </c>
      <c r="V34">
        <v>1152</v>
      </c>
      <c r="W34">
        <v>1116</v>
      </c>
      <c r="X34">
        <v>7052</v>
      </c>
      <c r="Y34">
        <v>793</v>
      </c>
      <c r="Z34">
        <v>5442</v>
      </c>
      <c r="AA34">
        <v>2863</v>
      </c>
      <c r="AB34">
        <v>13.173999999999999</v>
      </c>
      <c r="AC34">
        <v>16150</v>
      </c>
      <c r="AD34">
        <v>0.72</v>
      </c>
      <c r="AE34" s="1">
        <v>0.43438671665773898</v>
      </c>
      <c r="AF34" s="10"/>
    </row>
    <row r="35" spans="1:32" x14ac:dyDescent="0.25">
      <c r="A35">
        <v>14573</v>
      </c>
      <c r="B35">
        <v>944</v>
      </c>
      <c r="C35">
        <v>2213</v>
      </c>
      <c r="D35">
        <v>16</v>
      </c>
      <c r="E35">
        <v>539</v>
      </c>
      <c r="F35">
        <v>12175</v>
      </c>
      <c r="G35">
        <v>15.61</v>
      </c>
      <c r="H35">
        <v>4.1900000000000004</v>
      </c>
      <c r="I35">
        <v>6.88</v>
      </c>
      <c r="J35">
        <v>0.03</v>
      </c>
      <c r="K35">
        <v>1.1200000000000001</v>
      </c>
      <c r="L35">
        <v>25.22</v>
      </c>
      <c r="M35">
        <v>2.93</v>
      </c>
      <c r="N35">
        <v>22</v>
      </c>
      <c r="O35">
        <v>22.3</v>
      </c>
      <c r="P35">
        <v>9</v>
      </c>
      <c r="Q35">
        <v>24.86</v>
      </c>
      <c r="R35">
        <v>33.619999999999997</v>
      </c>
      <c r="S35">
        <v>9.6199999999999992</v>
      </c>
      <c r="T35">
        <v>2083</v>
      </c>
      <c r="U35">
        <v>1904</v>
      </c>
      <c r="V35">
        <v>1177</v>
      </c>
      <c r="W35">
        <v>1076</v>
      </c>
      <c r="X35">
        <v>7087</v>
      </c>
      <c r="Y35">
        <v>806</v>
      </c>
      <c r="Z35">
        <v>5425</v>
      </c>
      <c r="AA35">
        <v>2892</v>
      </c>
      <c r="AB35">
        <v>13.074999999999999</v>
      </c>
      <c r="AC35">
        <v>16210</v>
      </c>
      <c r="AD35">
        <v>0.71</v>
      </c>
      <c r="AE35" s="1">
        <v>0.434463233606243</v>
      </c>
      <c r="AF35" s="10"/>
    </row>
    <row r="36" spans="1:32" x14ac:dyDescent="0.25">
      <c r="A36">
        <v>7809</v>
      </c>
      <c r="B36">
        <v>528</v>
      </c>
      <c r="C36">
        <v>2370</v>
      </c>
      <c r="D36">
        <v>17</v>
      </c>
      <c r="E36">
        <v>433</v>
      </c>
      <c r="F36">
        <v>12147</v>
      </c>
      <c r="G36">
        <v>8.3699999999999992</v>
      </c>
      <c r="H36">
        <v>2.34</v>
      </c>
      <c r="I36">
        <v>7.36</v>
      </c>
      <c r="J36">
        <v>0.04</v>
      </c>
      <c r="K36">
        <v>0.9</v>
      </c>
      <c r="L36">
        <v>25.16</v>
      </c>
      <c r="M36">
        <v>1.64</v>
      </c>
      <c r="N36">
        <v>23.57</v>
      </c>
      <c r="O36">
        <v>26.25</v>
      </c>
      <c r="P36">
        <v>3.38</v>
      </c>
      <c r="Q36">
        <v>24.87</v>
      </c>
      <c r="R36">
        <v>33.549999999999997</v>
      </c>
      <c r="S36">
        <v>5.69</v>
      </c>
      <c r="T36">
        <v>2083</v>
      </c>
      <c r="U36">
        <v>1904</v>
      </c>
      <c r="V36">
        <v>1174</v>
      </c>
      <c r="W36">
        <v>1630</v>
      </c>
      <c r="X36">
        <v>7301</v>
      </c>
      <c r="Y36">
        <v>624</v>
      </c>
      <c r="Z36">
        <v>5476</v>
      </c>
      <c r="AA36">
        <v>1756</v>
      </c>
      <c r="AB36">
        <v>15.58</v>
      </c>
      <c r="AC36">
        <v>15157</v>
      </c>
      <c r="AD36">
        <v>0.67</v>
      </c>
      <c r="AE36" s="1">
        <v>0.43469278445175602</v>
      </c>
      <c r="AF36" s="10"/>
    </row>
    <row r="37" spans="1:32" x14ac:dyDescent="0.25">
      <c r="A37">
        <v>5871</v>
      </c>
      <c r="B37">
        <v>72</v>
      </c>
      <c r="C37">
        <v>2418</v>
      </c>
      <c r="D37">
        <v>1</v>
      </c>
      <c r="E37">
        <v>966</v>
      </c>
      <c r="F37">
        <v>12086</v>
      </c>
      <c r="G37">
        <v>6.29</v>
      </c>
      <c r="H37">
        <v>0.32</v>
      </c>
      <c r="I37">
        <v>7.51</v>
      </c>
      <c r="J37">
        <v>0</v>
      </c>
      <c r="K37">
        <v>2</v>
      </c>
      <c r="L37">
        <v>25.03</v>
      </c>
      <c r="M37">
        <v>0.22</v>
      </c>
      <c r="N37">
        <v>24.04</v>
      </c>
      <c r="O37">
        <v>29.17</v>
      </c>
      <c r="P37">
        <v>2.0499999999999998</v>
      </c>
      <c r="Q37">
        <v>24.82</v>
      </c>
      <c r="R37">
        <v>33.380000000000003</v>
      </c>
      <c r="S37">
        <v>2.86</v>
      </c>
      <c r="T37">
        <v>2077</v>
      </c>
      <c r="U37">
        <v>1904</v>
      </c>
      <c r="V37">
        <v>1168</v>
      </c>
      <c r="W37">
        <v>1883</v>
      </c>
      <c r="X37">
        <v>7299</v>
      </c>
      <c r="Y37">
        <v>540</v>
      </c>
      <c r="Z37">
        <v>5492</v>
      </c>
      <c r="AA37">
        <v>1336</v>
      </c>
      <c r="AB37">
        <v>16.459</v>
      </c>
      <c r="AC37">
        <v>14667</v>
      </c>
      <c r="AD37">
        <v>0.71</v>
      </c>
      <c r="AE37" s="1">
        <v>0.43499885224577201</v>
      </c>
      <c r="AF37" s="10"/>
    </row>
    <row r="38" spans="1:32" x14ac:dyDescent="0.25">
      <c r="A38">
        <v>6037</v>
      </c>
      <c r="B38">
        <v>124</v>
      </c>
      <c r="C38">
        <v>2358</v>
      </c>
      <c r="D38">
        <v>2</v>
      </c>
      <c r="E38">
        <v>1034</v>
      </c>
      <c r="F38">
        <v>12227</v>
      </c>
      <c r="G38">
        <v>6.47</v>
      </c>
      <c r="H38">
        <v>0.55000000000000004</v>
      </c>
      <c r="I38">
        <v>7.33</v>
      </c>
      <c r="J38">
        <v>0</v>
      </c>
      <c r="K38">
        <v>2.14</v>
      </c>
      <c r="L38">
        <v>25.33</v>
      </c>
      <c r="M38">
        <v>0.38</v>
      </c>
      <c r="N38">
        <v>23.44</v>
      </c>
      <c r="O38">
        <v>28.69</v>
      </c>
      <c r="P38">
        <v>2.16</v>
      </c>
      <c r="Q38">
        <v>24.83</v>
      </c>
      <c r="R38">
        <v>33.770000000000003</v>
      </c>
      <c r="S38">
        <v>3.48</v>
      </c>
      <c r="T38">
        <v>2077</v>
      </c>
      <c r="U38">
        <v>1904</v>
      </c>
      <c r="V38">
        <v>1182</v>
      </c>
      <c r="W38">
        <v>1847</v>
      </c>
      <c r="X38">
        <v>7330</v>
      </c>
      <c r="Y38">
        <v>551</v>
      </c>
      <c r="Z38">
        <v>5473</v>
      </c>
      <c r="AA38">
        <v>1377</v>
      </c>
      <c r="AB38">
        <v>16.38</v>
      </c>
      <c r="AC38">
        <v>14731</v>
      </c>
      <c r="AD38">
        <v>0.7</v>
      </c>
      <c r="AE38" s="1">
        <v>0.43614660647333298</v>
      </c>
      <c r="AF38" s="10"/>
    </row>
    <row r="39" spans="1:32" x14ac:dyDescent="0.25">
      <c r="A39">
        <v>5626</v>
      </c>
      <c r="B39">
        <v>42</v>
      </c>
      <c r="C39">
        <v>2581</v>
      </c>
      <c r="D39">
        <v>12</v>
      </c>
      <c r="E39">
        <v>845</v>
      </c>
      <c r="F39">
        <v>11459</v>
      </c>
      <c r="G39">
        <v>6.03</v>
      </c>
      <c r="H39">
        <v>0.19</v>
      </c>
      <c r="I39">
        <v>8.02</v>
      </c>
      <c r="J39">
        <v>0.03</v>
      </c>
      <c r="K39">
        <v>1.75</v>
      </c>
      <c r="L39">
        <v>23.74</v>
      </c>
      <c r="M39">
        <v>0.13</v>
      </c>
      <c r="N39">
        <v>25.66</v>
      </c>
      <c r="O39">
        <v>29.91</v>
      </c>
      <c r="P39">
        <v>1.89</v>
      </c>
      <c r="Q39">
        <v>24.85</v>
      </c>
      <c r="R39">
        <v>31.65</v>
      </c>
      <c r="S39">
        <v>2.3199999999999998</v>
      </c>
      <c r="T39">
        <v>2081</v>
      </c>
      <c r="U39">
        <v>1904</v>
      </c>
      <c r="V39">
        <v>1107</v>
      </c>
      <c r="W39">
        <v>1938</v>
      </c>
      <c r="X39">
        <v>7250</v>
      </c>
      <c r="Y39">
        <v>523</v>
      </c>
      <c r="Z39">
        <v>5546</v>
      </c>
      <c r="AA39">
        <v>1288</v>
      </c>
      <c r="AB39">
        <v>16.666</v>
      </c>
      <c r="AC39">
        <v>14607</v>
      </c>
      <c r="AD39">
        <v>0.72</v>
      </c>
      <c r="AE39" s="1">
        <v>0.436758742061366</v>
      </c>
      <c r="AF39" s="10"/>
    </row>
    <row r="40" spans="1:32" x14ac:dyDescent="0.25">
      <c r="A40">
        <v>7625</v>
      </c>
      <c r="B40">
        <v>434</v>
      </c>
      <c r="C40">
        <v>2327</v>
      </c>
      <c r="D40">
        <v>4</v>
      </c>
      <c r="E40">
        <v>807</v>
      </c>
      <c r="F40">
        <v>12134</v>
      </c>
      <c r="G40">
        <v>8.17</v>
      </c>
      <c r="H40">
        <v>1.93</v>
      </c>
      <c r="I40">
        <v>7.23</v>
      </c>
      <c r="J40">
        <v>0.01</v>
      </c>
      <c r="K40">
        <v>1.67</v>
      </c>
      <c r="L40">
        <v>25.13</v>
      </c>
      <c r="M40">
        <v>1.35</v>
      </c>
      <c r="N40">
        <v>23.14</v>
      </c>
      <c r="O40">
        <v>26.59</v>
      </c>
      <c r="P40">
        <v>3.24</v>
      </c>
      <c r="Q40">
        <v>24.83</v>
      </c>
      <c r="R40">
        <v>33.51</v>
      </c>
      <c r="S40">
        <v>5.71</v>
      </c>
      <c r="T40">
        <v>2078</v>
      </c>
      <c r="U40">
        <v>1904</v>
      </c>
      <c r="V40">
        <v>1173</v>
      </c>
      <c r="W40">
        <v>1659</v>
      </c>
      <c r="X40">
        <v>7326</v>
      </c>
      <c r="Y40">
        <v>613</v>
      </c>
      <c r="Z40">
        <v>5462</v>
      </c>
      <c r="AA40">
        <v>1703</v>
      </c>
      <c r="AB40">
        <v>15.742000000000001</v>
      </c>
      <c r="AC40">
        <v>15104</v>
      </c>
      <c r="AD40">
        <v>0.68</v>
      </c>
      <c r="AE40" s="1">
        <v>0.43714132680388701</v>
      </c>
      <c r="AF40" s="10"/>
    </row>
    <row r="41" spans="1:32" x14ac:dyDescent="0.25">
      <c r="A41">
        <v>14035</v>
      </c>
      <c r="B41">
        <v>878</v>
      </c>
      <c r="C41">
        <v>2231</v>
      </c>
      <c r="D41">
        <v>1</v>
      </c>
      <c r="E41">
        <v>826</v>
      </c>
      <c r="F41">
        <v>11914</v>
      </c>
      <c r="G41">
        <v>15.04</v>
      </c>
      <c r="H41">
        <v>3.9</v>
      </c>
      <c r="I41">
        <v>6.93</v>
      </c>
      <c r="J41">
        <v>0</v>
      </c>
      <c r="K41">
        <v>1.71</v>
      </c>
      <c r="L41">
        <v>24.68</v>
      </c>
      <c r="M41">
        <v>2.73</v>
      </c>
      <c r="N41">
        <v>22.18</v>
      </c>
      <c r="O41">
        <v>22.72</v>
      </c>
      <c r="P41">
        <v>8.5</v>
      </c>
      <c r="Q41">
        <v>24.82</v>
      </c>
      <c r="R41">
        <v>32.9</v>
      </c>
      <c r="S41">
        <v>9.6999999999999993</v>
      </c>
      <c r="T41">
        <v>2077</v>
      </c>
      <c r="U41">
        <v>1904</v>
      </c>
      <c r="V41">
        <v>1151</v>
      </c>
      <c r="W41">
        <v>1130</v>
      </c>
      <c r="X41">
        <v>7117</v>
      </c>
      <c r="Y41">
        <v>788</v>
      </c>
      <c r="Z41">
        <v>5431</v>
      </c>
      <c r="AA41">
        <v>2793</v>
      </c>
      <c r="AB41">
        <v>13.4</v>
      </c>
      <c r="AC41">
        <v>16129</v>
      </c>
      <c r="AD41">
        <v>0.71</v>
      </c>
      <c r="AE41" s="1">
        <v>0.437983013237432</v>
      </c>
      <c r="AF41" s="10"/>
    </row>
    <row r="42" spans="1:32" x14ac:dyDescent="0.25">
      <c r="A42">
        <v>13382</v>
      </c>
      <c r="B42">
        <v>1095</v>
      </c>
      <c r="C42">
        <v>2204</v>
      </c>
      <c r="D42">
        <v>17</v>
      </c>
      <c r="E42">
        <v>359</v>
      </c>
      <c r="F42">
        <v>12170</v>
      </c>
      <c r="G42">
        <v>14.34</v>
      </c>
      <c r="H42">
        <v>4.8600000000000003</v>
      </c>
      <c r="I42">
        <v>6.85</v>
      </c>
      <c r="J42">
        <v>0.03</v>
      </c>
      <c r="K42">
        <v>0.74</v>
      </c>
      <c r="L42">
        <v>25.21</v>
      </c>
      <c r="M42">
        <v>3.4</v>
      </c>
      <c r="N42">
        <v>21.91</v>
      </c>
      <c r="O42">
        <v>21.91</v>
      </c>
      <c r="P42">
        <v>8.0399999999999991</v>
      </c>
      <c r="Q42">
        <v>24.86</v>
      </c>
      <c r="R42">
        <v>33.61</v>
      </c>
      <c r="S42">
        <v>10.55</v>
      </c>
      <c r="T42">
        <v>2083</v>
      </c>
      <c r="U42">
        <v>1904</v>
      </c>
      <c r="V42">
        <v>1176</v>
      </c>
      <c r="W42">
        <v>1104</v>
      </c>
      <c r="X42">
        <v>7195</v>
      </c>
      <c r="Y42">
        <v>797</v>
      </c>
      <c r="Z42">
        <v>5422</v>
      </c>
      <c r="AA42">
        <v>2756</v>
      </c>
      <c r="AB42">
        <v>13.465</v>
      </c>
      <c r="AC42">
        <v>16170</v>
      </c>
      <c r="AD42">
        <v>0.68</v>
      </c>
      <c r="AE42" s="1">
        <v>0.43859514882546402</v>
      </c>
      <c r="AF42" s="10"/>
    </row>
    <row r="43" spans="1:32" x14ac:dyDescent="0.25">
      <c r="A43">
        <v>6145</v>
      </c>
      <c r="B43">
        <v>224</v>
      </c>
      <c r="C43">
        <v>2332</v>
      </c>
      <c r="D43">
        <v>5</v>
      </c>
      <c r="E43">
        <v>1035</v>
      </c>
      <c r="F43">
        <v>12197</v>
      </c>
      <c r="G43">
        <v>6.58</v>
      </c>
      <c r="H43">
        <v>0.99</v>
      </c>
      <c r="I43">
        <v>7.25</v>
      </c>
      <c r="J43">
        <v>0.01</v>
      </c>
      <c r="K43">
        <v>2.14</v>
      </c>
      <c r="L43">
        <v>25.26</v>
      </c>
      <c r="M43">
        <v>0.69</v>
      </c>
      <c r="N43">
        <v>23.19</v>
      </c>
      <c r="O43">
        <v>28.13</v>
      </c>
      <c r="P43">
        <v>2.2400000000000002</v>
      </c>
      <c r="Q43">
        <v>24.83</v>
      </c>
      <c r="R43">
        <v>33.68</v>
      </c>
      <c r="S43">
        <v>4.37</v>
      </c>
      <c r="T43">
        <v>2078</v>
      </c>
      <c r="U43">
        <v>1904</v>
      </c>
      <c r="V43">
        <v>1179</v>
      </c>
      <c r="W43">
        <v>1807</v>
      </c>
      <c r="X43">
        <v>7365</v>
      </c>
      <c r="Y43">
        <v>564</v>
      </c>
      <c r="Z43">
        <v>5463</v>
      </c>
      <c r="AA43">
        <v>1421</v>
      </c>
      <c r="AB43">
        <v>16.343</v>
      </c>
      <c r="AC43">
        <v>14813</v>
      </c>
      <c r="AD43">
        <v>0.69</v>
      </c>
      <c r="AE43" s="1">
        <v>0.43867166577396799</v>
      </c>
      <c r="AF43" s="10"/>
    </row>
    <row r="44" spans="1:32" x14ac:dyDescent="0.25">
      <c r="A44">
        <v>13381</v>
      </c>
      <c r="B44">
        <v>286</v>
      </c>
      <c r="C44">
        <v>2170</v>
      </c>
      <c r="D44">
        <v>458</v>
      </c>
      <c r="E44">
        <v>1610</v>
      </c>
      <c r="F44">
        <v>11852</v>
      </c>
      <c r="G44">
        <v>14.34</v>
      </c>
      <c r="H44">
        <v>1.27</v>
      </c>
      <c r="I44">
        <v>6.74</v>
      </c>
      <c r="J44">
        <v>0.95</v>
      </c>
      <c r="K44">
        <v>3.34</v>
      </c>
      <c r="L44">
        <v>24.55</v>
      </c>
      <c r="M44">
        <v>0.89</v>
      </c>
      <c r="N44">
        <v>21.58</v>
      </c>
      <c r="O44">
        <v>25.08</v>
      </c>
      <c r="P44">
        <v>7.72</v>
      </c>
      <c r="Q44">
        <v>26.01</v>
      </c>
      <c r="R44">
        <v>32.729999999999997</v>
      </c>
      <c r="S44">
        <v>6.25</v>
      </c>
      <c r="T44">
        <v>2248</v>
      </c>
      <c r="U44">
        <v>1904</v>
      </c>
      <c r="V44">
        <v>1145</v>
      </c>
      <c r="W44">
        <v>1323</v>
      </c>
      <c r="X44">
        <v>7179</v>
      </c>
      <c r="Y44">
        <v>723</v>
      </c>
      <c r="Z44">
        <v>5411</v>
      </c>
      <c r="AA44">
        <v>2529</v>
      </c>
      <c r="AB44">
        <v>14.09</v>
      </c>
      <c r="AC44">
        <v>15842</v>
      </c>
      <c r="AD44">
        <v>0.74</v>
      </c>
      <c r="AE44" s="1">
        <v>0.43874818272247301</v>
      </c>
    </row>
    <row r="45" spans="1:32" x14ac:dyDescent="0.25">
      <c r="A45">
        <v>6042</v>
      </c>
      <c r="B45">
        <v>270</v>
      </c>
      <c r="C45">
        <v>2327</v>
      </c>
      <c r="D45">
        <v>8</v>
      </c>
      <c r="E45">
        <v>1030</v>
      </c>
      <c r="F45">
        <v>12157</v>
      </c>
      <c r="G45">
        <v>6.47</v>
      </c>
      <c r="H45">
        <v>1.2</v>
      </c>
      <c r="I45">
        <v>7.23</v>
      </c>
      <c r="J45">
        <v>0.02</v>
      </c>
      <c r="K45">
        <v>2.13</v>
      </c>
      <c r="L45">
        <v>25.18</v>
      </c>
      <c r="M45">
        <v>0.84</v>
      </c>
      <c r="N45">
        <v>23.13</v>
      </c>
      <c r="O45">
        <v>27.97</v>
      </c>
      <c r="P45">
        <v>2.19</v>
      </c>
      <c r="Q45">
        <v>24.84</v>
      </c>
      <c r="R45">
        <v>33.57</v>
      </c>
      <c r="S45">
        <v>4.76</v>
      </c>
      <c r="T45">
        <v>2080</v>
      </c>
      <c r="U45">
        <v>1904</v>
      </c>
      <c r="V45">
        <v>1175</v>
      </c>
      <c r="W45">
        <v>1800</v>
      </c>
      <c r="X45">
        <v>7389</v>
      </c>
      <c r="Y45">
        <v>566</v>
      </c>
      <c r="Z45">
        <v>5462</v>
      </c>
      <c r="AA45">
        <v>1419</v>
      </c>
      <c r="AB45">
        <v>16.388000000000002</v>
      </c>
      <c r="AC45">
        <v>14836</v>
      </c>
      <c r="AD45">
        <v>0.68</v>
      </c>
      <c r="AE45" s="1">
        <v>0.44050807253806701</v>
      </c>
    </row>
    <row r="46" spans="1:32" x14ac:dyDescent="0.25">
      <c r="A46">
        <v>14578</v>
      </c>
      <c r="B46">
        <v>1069</v>
      </c>
      <c r="C46">
        <v>2213</v>
      </c>
      <c r="D46">
        <v>16</v>
      </c>
      <c r="E46">
        <v>718</v>
      </c>
      <c r="F46">
        <v>11809</v>
      </c>
      <c r="G46">
        <v>15.62</v>
      </c>
      <c r="H46">
        <v>4.74</v>
      </c>
      <c r="I46">
        <v>6.88</v>
      </c>
      <c r="J46">
        <v>0.03</v>
      </c>
      <c r="K46">
        <v>1.49</v>
      </c>
      <c r="L46">
        <v>24.46</v>
      </c>
      <c r="M46">
        <v>3.32</v>
      </c>
      <c r="N46">
        <v>22</v>
      </c>
      <c r="O46">
        <v>21.8</v>
      </c>
      <c r="P46">
        <v>9.07</v>
      </c>
      <c r="Q46">
        <v>24.86</v>
      </c>
      <c r="R46">
        <v>32.61</v>
      </c>
      <c r="S46">
        <v>11.14</v>
      </c>
      <c r="T46">
        <v>2082</v>
      </c>
      <c r="U46">
        <v>1904</v>
      </c>
      <c r="V46">
        <v>1141</v>
      </c>
      <c r="W46">
        <v>1041</v>
      </c>
      <c r="X46">
        <v>7148</v>
      </c>
      <c r="Y46">
        <v>818</v>
      </c>
      <c r="Z46">
        <v>5424</v>
      </c>
      <c r="AA46">
        <v>2928</v>
      </c>
      <c r="AB46">
        <v>13.192</v>
      </c>
      <c r="AC46">
        <v>16318</v>
      </c>
      <c r="AD46">
        <v>0.7</v>
      </c>
      <c r="AE46" s="1">
        <v>0.442267962353661</v>
      </c>
    </row>
    <row r="47" spans="1:32" x14ac:dyDescent="0.25">
      <c r="A47">
        <v>5771</v>
      </c>
      <c r="B47">
        <v>465</v>
      </c>
      <c r="C47">
        <v>2322</v>
      </c>
      <c r="D47">
        <v>5</v>
      </c>
      <c r="E47">
        <v>729</v>
      </c>
      <c r="F47">
        <v>12190</v>
      </c>
      <c r="G47">
        <v>6.18</v>
      </c>
      <c r="H47">
        <v>2.06</v>
      </c>
      <c r="I47">
        <v>7.22</v>
      </c>
      <c r="J47">
        <v>0.01</v>
      </c>
      <c r="K47">
        <v>1.51</v>
      </c>
      <c r="L47">
        <v>25.25</v>
      </c>
      <c r="M47">
        <v>1.44</v>
      </c>
      <c r="N47">
        <v>23.09</v>
      </c>
      <c r="O47">
        <v>27.25</v>
      </c>
      <c r="P47">
        <v>2.06</v>
      </c>
      <c r="Q47">
        <v>24.83</v>
      </c>
      <c r="R47">
        <v>33.659999999999997</v>
      </c>
      <c r="S47">
        <v>5.8</v>
      </c>
      <c r="T47">
        <v>2078</v>
      </c>
      <c r="U47">
        <v>1904</v>
      </c>
      <c r="V47">
        <v>1178</v>
      </c>
      <c r="W47">
        <v>1761</v>
      </c>
      <c r="X47">
        <v>7441</v>
      </c>
      <c r="Y47">
        <v>579</v>
      </c>
      <c r="Z47">
        <v>5460</v>
      </c>
      <c r="AA47">
        <v>1433</v>
      </c>
      <c r="AB47">
        <v>16.393999999999998</v>
      </c>
      <c r="AC47">
        <v>14913</v>
      </c>
      <c r="AD47">
        <v>0.66</v>
      </c>
      <c r="AE47" s="1">
        <v>0.44288009794169397</v>
      </c>
    </row>
    <row r="48" spans="1:32" x14ac:dyDescent="0.25">
      <c r="A48">
        <v>7541</v>
      </c>
      <c r="B48">
        <v>880</v>
      </c>
      <c r="C48">
        <v>2332</v>
      </c>
      <c r="D48">
        <v>135</v>
      </c>
      <c r="E48">
        <v>103</v>
      </c>
      <c r="F48">
        <v>12015</v>
      </c>
      <c r="G48">
        <v>8.08</v>
      </c>
      <c r="H48">
        <v>3.9</v>
      </c>
      <c r="I48">
        <v>7.25</v>
      </c>
      <c r="J48">
        <v>0.28000000000000003</v>
      </c>
      <c r="K48">
        <v>0.21</v>
      </c>
      <c r="L48">
        <v>24.89</v>
      </c>
      <c r="M48">
        <v>2.73</v>
      </c>
      <c r="N48">
        <v>23.19</v>
      </c>
      <c r="O48">
        <v>24.77</v>
      </c>
      <c r="P48">
        <v>3.29</v>
      </c>
      <c r="Q48">
        <v>25.17</v>
      </c>
      <c r="R48">
        <v>33.18</v>
      </c>
      <c r="S48">
        <v>8.0500000000000007</v>
      </c>
      <c r="T48">
        <v>2127</v>
      </c>
      <c r="U48">
        <v>1904</v>
      </c>
      <c r="V48">
        <v>1161</v>
      </c>
      <c r="W48">
        <v>1541</v>
      </c>
      <c r="X48">
        <v>7446</v>
      </c>
      <c r="Y48">
        <v>653</v>
      </c>
      <c r="Z48">
        <v>5463</v>
      </c>
      <c r="AA48">
        <v>1815</v>
      </c>
      <c r="AB48">
        <v>15.661</v>
      </c>
      <c r="AC48">
        <v>15377</v>
      </c>
      <c r="AD48">
        <v>0.64</v>
      </c>
      <c r="AE48" s="1">
        <v>0.44372178437523901</v>
      </c>
    </row>
    <row r="49" spans="1:31" x14ac:dyDescent="0.25">
      <c r="A49">
        <v>5686</v>
      </c>
      <c r="B49">
        <v>592</v>
      </c>
      <c r="C49">
        <v>2328</v>
      </c>
      <c r="D49">
        <v>8</v>
      </c>
      <c r="E49">
        <v>500</v>
      </c>
      <c r="F49">
        <v>12197</v>
      </c>
      <c r="G49">
        <v>6.09</v>
      </c>
      <c r="H49">
        <v>2.63</v>
      </c>
      <c r="I49">
        <v>7.23</v>
      </c>
      <c r="J49">
        <v>0.02</v>
      </c>
      <c r="K49">
        <v>1.04</v>
      </c>
      <c r="L49">
        <v>25.26</v>
      </c>
      <c r="M49">
        <v>1.84</v>
      </c>
      <c r="N49">
        <v>23.14</v>
      </c>
      <c r="O49">
        <v>26.77</v>
      </c>
      <c r="P49">
        <v>2.04</v>
      </c>
      <c r="Q49">
        <v>24.84</v>
      </c>
      <c r="R49">
        <v>33.68</v>
      </c>
      <c r="S49">
        <v>6.41</v>
      </c>
      <c r="T49">
        <v>2080</v>
      </c>
      <c r="U49">
        <v>1904</v>
      </c>
      <c r="V49">
        <v>1179</v>
      </c>
      <c r="W49">
        <v>1732</v>
      </c>
      <c r="X49">
        <v>7466</v>
      </c>
      <c r="Y49">
        <v>589</v>
      </c>
      <c r="Z49">
        <v>5462</v>
      </c>
      <c r="AA49">
        <v>1456</v>
      </c>
      <c r="AB49">
        <v>16.361999999999998</v>
      </c>
      <c r="AC49">
        <v>14973</v>
      </c>
      <c r="AD49">
        <v>0.65</v>
      </c>
      <c r="AE49" s="1">
        <v>0.44395133522075098</v>
      </c>
    </row>
    <row r="50" spans="1:31" x14ac:dyDescent="0.25">
      <c r="A50">
        <v>6624</v>
      </c>
      <c r="B50">
        <v>609</v>
      </c>
      <c r="C50">
        <v>2272</v>
      </c>
      <c r="D50">
        <v>8</v>
      </c>
      <c r="E50">
        <v>803</v>
      </c>
      <c r="F50">
        <v>12134</v>
      </c>
      <c r="G50">
        <v>7.1</v>
      </c>
      <c r="H50">
        <v>2.7</v>
      </c>
      <c r="I50">
        <v>7.06</v>
      </c>
      <c r="J50">
        <v>0.02</v>
      </c>
      <c r="K50">
        <v>1.66</v>
      </c>
      <c r="L50">
        <v>25.13</v>
      </c>
      <c r="M50">
        <v>1.89</v>
      </c>
      <c r="N50">
        <v>22.59</v>
      </c>
      <c r="O50">
        <v>26.1</v>
      </c>
      <c r="P50">
        <v>2.62</v>
      </c>
      <c r="Q50">
        <v>24.84</v>
      </c>
      <c r="R50">
        <v>33.51</v>
      </c>
      <c r="S50">
        <v>7.26</v>
      </c>
      <c r="T50">
        <v>2080</v>
      </c>
      <c r="U50">
        <v>1904</v>
      </c>
      <c r="V50">
        <v>1173</v>
      </c>
      <c r="W50">
        <v>1660</v>
      </c>
      <c r="X50">
        <v>7461</v>
      </c>
      <c r="Y50">
        <v>612</v>
      </c>
      <c r="Z50">
        <v>5444</v>
      </c>
      <c r="AA50">
        <v>1603</v>
      </c>
      <c r="AB50">
        <v>16.103000000000002</v>
      </c>
      <c r="AC50">
        <v>15120</v>
      </c>
      <c r="AD50">
        <v>0.65</v>
      </c>
      <c r="AE50" s="1">
        <v>0.44532864029382502</v>
      </c>
    </row>
    <row r="51" spans="1:31" x14ac:dyDescent="0.25">
      <c r="A51">
        <v>14156</v>
      </c>
      <c r="B51">
        <v>1099</v>
      </c>
      <c r="C51">
        <v>2174</v>
      </c>
      <c r="D51">
        <v>3</v>
      </c>
      <c r="E51">
        <v>865</v>
      </c>
      <c r="F51">
        <v>11813</v>
      </c>
      <c r="G51">
        <v>15.17</v>
      </c>
      <c r="H51">
        <v>4.88</v>
      </c>
      <c r="I51">
        <v>6.76</v>
      </c>
      <c r="J51">
        <v>0.01</v>
      </c>
      <c r="K51">
        <v>1.79</v>
      </c>
      <c r="L51">
        <v>24.47</v>
      </c>
      <c r="M51">
        <v>3.41</v>
      </c>
      <c r="N51">
        <v>21.62</v>
      </c>
      <c r="O51">
        <v>21.66</v>
      </c>
      <c r="P51">
        <v>8.73</v>
      </c>
      <c r="Q51">
        <v>24.83</v>
      </c>
      <c r="R51">
        <v>32.630000000000003</v>
      </c>
      <c r="S51">
        <v>11.75</v>
      </c>
      <c r="T51">
        <v>2078</v>
      </c>
      <c r="U51">
        <v>1904</v>
      </c>
      <c r="V51">
        <v>1142</v>
      </c>
      <c r="W51">
        <v>1051</v>
      </c>
      <c r="X51">
        <v>7205</v>
      </c>
      <c r="Y51">
        <v>814</v>
      </c>
      <c r="Z51">
        <v>5412</v>
      </c>
      <c r="AA51">
        <v>2874</v>
      </c>
      <c r="AB51">
        <v>13.377000000000001</v>
      </c>
      <c r="AC51">
        <v>16305</v>
      </c>
      <c r="AD51">
        <v>0.69</v>
      </c>
      <c r="AE51" s="1">
        <v>0.445634708087841</v>
      </c>
    </row>
    <row r="52" spans="1:31" x14ac:dyDescent="0.25">
      <c r="A52">
        <v>6000</v>
      </c>
      <c r="B52">
        <v>607</v>
      </c>
      <c r="C52">
        <v>2313</v>
      </c>
      <c r="D52">
        <v>4</v>
      </c>
      <c r="E52">
        <v>728</v>
      </c>
      <c r="F52">
        <v>12022</v>
      </c>
      <c r="G52">
        <v>6.43</v>
      </c>
      <c r="H52">
        <v>2.69</v>
      </c>
      <c r="I52">
        <v>7.19</v>
      </c>
      <c r="J52">
        <v>0.01</v>
      </c>
      <c r="K52">
        <v>1.51</v>
      </c>
      <c r="L52">
        <v>24.9</v>
      </c>
      <c r="M52">
        <v>1.89</v>
      </c>
      <c r="N52">
        <v>23</v>
      </c>
      <c r="O52">
        <v>26.51</v>
      </c>
      <c r="P52">
        <v>2.23</v>
      </c>
      <c r="Q52">
        <v>24.83</v>
      </c>
      <c r="R52">
        <v>33.200000000000003</v>
      </c>
      <c r="S52">
        <v>7.06</v>
      </c>
      <c r="T52">
        <v>2078</v>
      </c>
      <c r="U52">
        <v>1904</v>
      </c>
      <c r="V52">
        <v>1162</v>
      </c>
      <c r="W52">
        <v>1706</v>
      </c>
      <c r="X52">
        <v>7478</v>
      </c>
      <c r="Y52">
        <v>598</v>
      </c>
      <c r="Z52">
        <v>5457</v>
      </c>
      <c r="AA52">
        <v>1507</v>
      </c>
      <c r="AB52">
        <v>16.338999999999999</v>
      </c>
      <c r="AC52">
        <v>15040</v>
      </c>
      <c r="AD52">
        <v>0.65</v>
      </c>
      <c r="AE52" s="1">
        <v>0.446858979263906</v>
      </c>
    </row>
    <row r="53" spans="1:31" x14ac:dyDescent="0.25">
      <c r="A53">
        <v>13592</v>
      </c>
      <c r="B53">
        <v>1228</v>
      </c>
      <c r="C53">
        <v>2072</v>
      </c>
      <c r="D53">
        <v>73</v>
      </c>
      <c r="E53">
        <v>666</v>
      </c>
      <c r="F53">
        <v>12241</v>
      </c>
      <c r="G53">
        <v>14.56</v>
      </c>
      <c r="H53">
        <v>5.45</v>
      </c>
      <c r="I53">
        <v>6.44</v>
      </c>
      <c r="J53">
        <v>0.15</v>
      </c>
      <c r="K53">
        <v>1.38</v>
      </c>
      <c r="L53">
        <v>25.36</v>
      </c>
      <c r="M53">
        <v>3.82</v>
      </c>
      <c r="N53">
        <v>20.6</v>
      </c>
      <c r="O53">
        <v>20.98</v>
      </c>
      <c r="P53">
        <v>8.34</v>
      </c>
      <c r="Q53">
        <v>25.01</v>
      </c>
      <c r="R53">
        <v>33.81</v>
      </c>
      <c r="S53">
        <v>12.44</v>
      </c>
      <c r="T53">
        <v>2104</v>
      </c>
      <c r="U53">
        <v>1904</v>
      </c>
      <c r="V53">
        <v>1183</v>
      </c>
      <c r="W53">
        <v>1029</v>
      </c>
      <c r="X53">
        <v>7310</v>
      </c>
      <c r="Y53">
        <v>820</v>
      </c>
      <c r="Z53">
        <v>5377</v>
      </c>
      <c r="AA53">
        <v>2828</v>
      </c>
      <c r="AB53">
        <v>13.465</v>
      </c>
      <c r="AC53">
        <v>16335</v>
      </c>
      <c r="AD53">
        <v>0.66</v>
      </c>
      <c r="AE53" s="1">
        <v>0.44708853010941901</v>
      </c>
    </row>
    <row r="54" spans="1:31" x14ac:dyDescent="0.25">
      <c r="A54">
        <v>8704</v>
      </c>
      <c r="B54">
        <v>581</v>
      </c>
      <c r="C54">
        <v>2327</v>
      </c>
      <c r="D54">
        <v>8</v>
      </c>
      <c r="E54">
        <v>1268</v>
      </c>
      <c r="F54">
        <v>11452</v>
      </c>
      <c r="G54">
        <v>9.32</v>
      </c>
      <c r="H54">
        <v>2.58</v>
      </c>
      <c r="I54">
        <v>7.23</v>
      </c>
      <c r="J54">
        <v>0.02</v>
      </c>
      <c r="K54">
        <v>2.63</v>
      </c>
      <c r="L54">
        <v>23.72</v>
      </c>
      <c r="M54">
        <v>1.8</v>
      </c>
      <c r="N54">
        <v>23.13</v>
      </c>
      <c r="O54">
        <v>25.58</v>
      </c>
      <c r="P54">
        <v>4.04</v>
      </c>
      <c r="Q54">
        <v>24.84</v>
      </c>
      <c r="R54">
        <v>31.63</v>
      </c>
      <c r="S54">
        <v>8.07</v>
      </c>
      <c r="T54">
        <v>2080</v>
      </c>
      <c r="U54">
        <v>1904</v>
      </c>
      <c r="V54">
        <v>1107</v>
      </c>
      <c r="W54">
        <v>1553</v>
      </c>
      <c r="X54">
        <v>7358</v>
      </c>
      <c r="Y54">
        <v>649</v>
      </c>
      <c r="Z54">
        <v>5461</v>
      </c>
      <c r="AA54">
        <v>1906</v>
      </c>
      <c r="AB54">
        <v>15.603</v>
      </c>
      <c r="AC54">
        <v>15374</v>
      </c>
      <c r="AD54">
        <v>0.67</v>
      </c>
      <c r="AE54" s="1">
        <v>0.44754763180044299</v>
      </c>
    </row>
    <row r="55" spans="1:31" x14ac:dyDescent="0.25">
      <c r="A55">
        <v>12347</v>
      </c>
      <c r="B55">
        <v>903</v>
      </c>
      <c r="C55">
        <v>2223</v>
      </c>
      <c r="D55">
        <v>1</v>
      </c>
      <c r="E55">
        <v>1224</v>
      </c>
      <c r="F55">
        <v>11518</v>
      </c>
      <c r="G55">
        <v>13.23</v>
      </c>
      <c r="H55">
        <v>4.01</v>
      </c>
      <c r="I55">
        <v>6.91</v>
      </c>
      <c r="J55">
        <v>0</v>
      </c>
      <c r="K55">
        <v>2.54</v>
      </c>
      <c r="L55">
        <v>23.86</v>
      </c>
      <c r="M55">
        <v>2.81</v>
      </c>
      <c r="N55">
        <v>22.1</v>
      </c>
      <c r="O55">
        <v>22.96</v>
      </c>
      <c r="P55">
        <v>7.07</v>
      </c>
      <c r="Q55">
        <v>24.82</v>
      </c>
      <c r="R55">
        <v>31.81</v>
      </c>
      <c r="S55">
        <v>10.83</v>
      </c>
      <c r="T55">
        <v>2077</v>
      </c>
      <c r="U55">
        <v>1904</v>
      </c>
      <c r="V55">
        <v>1113</v>
      </c>
      <c r="W55">
        <v>1224</v>
      </c>
      <c r="X55">
        <v>7270</v>
      </c>
      <c r="Y55">
        <v>757</v>
      </c>
      <c r="Z55">
        <v>5428</v>
      </c>
      <c r="AA55">
        <v>2546</v>
      </c>
      <c r="AB55">
        <v>14.209</v>
      </c>
      <c r="AC55">
        <v>16001</v>
      </c>
      <c r="AD55">
        <v>0.68</v>
      </c>
      <c r="AE55" s="1">
        <v>0.448465835182492</v>
      </c>
    </row>
    <row r="56" spans="1:31" x14ac:dyDescent="0.25">
      <c r="A56">
        <v>13891</v>
      </c>
      <c r="B56">
        <v>1417</v>
      </c>
      <c r="C56">
        <v>2089</v>
      </c>
      <c r="D56">
        <v>70</v>
      </c>
      <c r="E56">
        <v>430</v>
      </c>
      <c r="F56">
        <v>12113</v>
      </c>
      <c r="G56">
        <v>14.88</v>
      </c>
      <c r="H56">
        <v>6.29</v>
      </c>
      <c r="I56">
        <v>6.49</v>
      </c>
      <c r="J56">
        <v>0.15</v>
      </c>
      <c r="K56">
        <v>0.89</v>
      </c>
      <c r="L56">
        <v>25.09</v>
      </c>
      <c r="M56">
        <v>4.4000000000000004</v>
      </c>
      <c r="N56">
        <v>20.77</v>
      </c>
      <c r="O56">
        <v>20.23</v>
      </c>
      <c r="P56">
        <v>8.6999999999999993</v>
      </c>
      <c r="Q56">
        <v>25</v>
      </c>
      <c r="R56">
        <v>33.450000000000003</v>
      </c>
      <c r="S56">
        <v>13.57</v>
      </c>
      <c r="T56">
        <v>2103</v>
      </c>
      <c r="U56">
        <v>1904</v>
      </c>
      <c r="V56">
        <v>1171</v>
      </c>
      <c r="W56">
        <v>961</v>
      </c>
      <c r="X56">
        <v>7327</v>
      </c>
      <c r="Y56">
        <v>843</v>
      </c>
      <c r="Z56">
        <v>5383</v>
      </c>
      <c r="AA56">
        <v>2925</v>
      </c>
      <c r="AB56">
        <v>13.313000000000001</v>
      </c>
      <c r="AC56">
        <v>16478</v>
      </c>
      <c r="AD56">
        <v>0.65</v>
      </c>
      <c r="AE56" s="1">
        <v>0.44991965720407001</v>
      </c>
    </row>
    <row r="57" spans="1:31" x14ac:dyDescent="0.25">
      <c r="A57">
        <v>5968</v>
      </c>
      <c r="B57">
        <v>927</v>
      </c>
      <c r="C57">
        <v>2243</v>
      </c>
      <c r="D57">
        <v>11</v>
      </c>
      <c r="E57">
        <v>353</v>
      </c>
      <c r="F57">
        <v>12248</v>
      </c>
      <c r="G57">
        <v>6.39</v>
      </c>
      <c r="H57">
        <v>4.1100000000000003</v>
      </c>
      <c r="I57">
        <v>6.97</v>
      </c>
      <c r="J57">
        <v>0.02</v>
      </c>
      <c r="K57">
        <v>0.73</v>
      </c>
      <c r="L57">
        <v>25.37</v>
      </c>
      <c r="M57">
        <v>2.88</v>
      </c>
      <c r="N57">
        <v>22.3</v>
      </c>
      <c r="O57">
        <v>24.97</v>
      </c>
      <c r="P57">
        <v>2.29</v>
      </c>
      <c r="Q57">
        <v>24.85</v>
      </c>
      <c r="R57">
        <v>33.82</v>
      </c>
      <c r="S57">
        <v>9.0399999999999991</v>
      </c>
      <c r="T57">
        <v>2081</v>
      </c>
      <c r="U57">
        <v>1904</v>
      </c>
      <c r="V57">
        <v>1184</v>
      </c>
      <c r="W57">
        <v>1605</v>
      </c>
      <c r="X57">
        <v>7572</v>
      </c>
      <c r="Y57">
        <v>631</v>
      </c>
      <c r="Z57">
        <v>5434</v>
      </c>
      <c r="AA57">
        <v>1593</v>
      </c>
      <c r="AB57">
        <v>16.193000000000001</v>
      </c>
      <c r="AC57">
        <v>15230</v>
      </c>
      <c r="AD57">
        <v>0.62</v>
      </c>
      <c r="AE57" s="1">
        <v>0.45037875889509499</v>
      </c>
    </row>
    <row r="58" spans="1:31" x14ac:dyDescent="0.25">
      <c r="A58">
        <v>5684</v>
      </c>
      <c r="B58">
        <v>927</v>
      </c>
      <c r="C58">
        <v>2243</v>
      </c>
      <c r="D58">
        <v>11</v>
      </c>
      <c r="E58">
        <v>353</v>
      </c>
      <c r="F58">
        <v>12248</v>
      </c>
      <c r="G58">
        <v>6.09</v>
      </c>
      <c r="H58">
        <v>4.1100000000000003</v>
      </c>
      <c r="I58">
        <v>6.97</v>
      </c>
      <c r="J58">
        <v>0.02</v>
      </c>
      <c r="K58">
        <v>0.73</v>
      </c>
      <c r="L58">
        <v>25.37</v>
      </c>
      <c r="M58">
        <v>2.88</v>
      </c>
      <c r="N58">
        <v>22.3</v>
      </c>
      <c r="O58">
        <v>25.11</v>
      </c>
      <c r="P58">
        <v>2.12</v>
      </c>
      <c r="Q58">
        <v>24.85</v>
      </c>
      <c r="R58">
        <v>33.82</v>
      </c>
      <c r="S58">
        <v>9.0399999999999991</v>
      </c>
      <c r="T58">
        <v>2081</v>
      </c>
      <c r="U58">
        <v>1904</v>
      </c>
      <c r="V58">
        <v>1184</v>
      </c>
      <c r="W58">
        <v>1622</v>
      </c>
      <c r="X58">
        <v>7589</v>
      </c>
      <c r="Y58">
        <v>625</v>
      </c>
      <c r="Z58">
        <v>5435</v>
      </c>
      <c r="AA58">
        <v>1551</v>
      </c>
      <c r="AB58">
        <v>16.297999999999998</v>
      </c>
      <c r="AC58">
        <v>15200</v>
      </c>
      <c r="AD58">
        <v>0.62</v>
      </c>
      <c r="AE58" s="1">
        <v>0.45144999617415199</v>
      </c>
    </row>
    <row r="59" spans="1:31" x14ac:dyDescent="0.25">
      <c r="A59">
        <v>13592</v>
      </c>
      <c r="B59">
        <v>1405</v>
      </c>
      <c r="C59">
        <v>2072</v>
      </c>
      <c r="D59">
        <v>73</v>
      </c>
      <c r="E59">
        <v>667</v>
      </c>
      <c r="F59">
        <v>11976</v>
      </c>
      <c r="G59">
        <v>14.56</v>
      </c>
      <c r="H59">
        <v>6.24</v>
      </c>
      <c r="I59">
        <v>6.44</v>
      </c>
      <c r="J59">
        <v>0.15</v>
      </c>
      <c r="K59">
        <v>1.38</v>
      </c>
      <c r="L59">
        <v>24.81</v>
      </c>
      <c r="M59">
        <v>4.3600000000000003</v>
      </c>
      <c r="N59">
        <v>20.6</v>
      </c>
      <c r="O59">
        <v>20.29</v>
      </c>
      <c r="P59">
        <v>8.43</v>
      </c>
      <c r="Q59">
        <v>25.01</v>
      </c>
      <c r="R59">
        <v>33.07</v>
      </c>
      <c r="S59">
        <v>14</v>
      </c>
      <c r="T59">
        <v>2104</v>
      </c>
      <c r="U59">
        <v>1904</v>
      </c>
      <c r="V59">
        <v>1157</v>
      </c>
      <c r="W59">
        <v>980</v>
      </c>
      <c r="X59">
        <v>7370</v>
      </c>
      <c r="Y59">
        <v>837</v>
      </c>
      <c r="Z59">
        <v>5378</v>
      </c>
      <c r="AA59">
        <v>2877</v>
      </c>
      <c r="AB59">
        <v>13.515000000000001</v>
      </c>
      <c r="AC59">
        <v>16462</v>
      </c>
      <c r="AD59">
        <v>0.65</v>
      </c>
      <c r="AE59" s="1">
        <v>0.45374550462927499</v>
      </c>
    </row>
    <row r="60" spans="1:31" x14ac:dyDescent="0.25">
      <c r="A60">
        <v>6110</v>
      </c>
      <c r="B60">
        <v>48</v>
      </c>
      <c r="C60">
        <v>2138</v>
      </c>
      <c r="D60">
        <v>8</v>
      </c>
      <c r="E60">
        <v>2491</v>
      </c>
      <c r="F60">
        <v>11935</v>
      </c>
      <c r="G60">
        <v>6.55</v>
      </c>
      <c r="H60">
        <v>0.21</v>
      </c>
      <c r="I60">
        <v>6.64</v>
      </c>
      <c r="J60">
        <v>0.02</v>
      </c>
      <c r="K60">
        <v>5.16</v>
      </c>
      <c r="L60">
        <v>24.72</v>
      </c>
      <c r="M60">
        <v>0.15</v>
      </c>
      <c r="N60">
        <v>21.25</v>
      </c>
      <c r="O60">
        <v>28.32</v>
      </c>
      <c r="P60">
        <v>2.21</v>
      </c>
      <c r="Q60">
        <v>24.84</v>
      </c>
      <c r="R60">
        <v>32.96</v>
      </c>
      <c r="S60">
        <v>6.16</v>
      </c>
      <c r="T60">
        <v>2080</v>
      </c>
      <c r="U60">
        <v>1904</v>
      </c>
      <c r="V60">
        <v>1153</v>
      </c>
      <c r="W60">
        <v>1821</v>
      </c>
      <c r="X60">
        <v>7508</v>
      </c>
      <c r="Y60">
        <v>557</v>
      </c>
      <c r="Z60">
        <v>5401</v>
      </c>
      <c r="AA60">
        <v>1370</v>
      </c>
      <c r="AB60">
        <v>16.783999999999999</v>
      </c>
      <c r="AC60">
        <v>14836</v>
      </c>
      <c r="AD60">
        <v>0.69</v>
      </c>
      <c r="AE60" s="1">
        <v>0.45389853852628298</v>
      </c>
    </row>
    <row r="61" spans="1:31" x14ac:dyDescent="0.25">
      <c r="A61">
        <v>12005</v>
      </c>
      <c r="B61">
        <v>1584</v>
      </c>
      <c r="C61">
        <v>2063</v>
      </c>
      <c r="D61">
        <v>12</v>
      </c>
      <c r="E61">
        <v>266</v>
      </c>
      <c r="F61">
        <v>12213</v>
      </c>
      <c r="G61">
        <v>12.86</v>
      </c>
      <c r="H61">
        <v>7.03</v>
      </c>
      <c r="I61">
        <v>6.41</v>
      </c>
      <c r="J61">
        <v>0.02</v>
      </c>
      <c r="K61">
        <v>0.55000000000000004</v>
      </c>
      <c r="L61">
        <v>25.3</v>
      </c>
      <c r="M61">
        <v>4.92</v>
      </c>
      <c r="N61">
        <v>20.51</v>
      </c>
      <c r="O61">
        <v>19.91</v>
      </c>
      <c r="P61">
        <v>7.17</v>
      </c>
      <c r="Q61">
        <v>24.85</v>
      </c>
      <c r="R61">
        <v>33.729999999999997</v>
      </c>
      <c r="S61">
        <v>14.68</v>
      </c>
      <c r="T61">
        <v>2081</v>
      </c>
      <c r="U61">
        <v>1904</v>
      </c>
      <c r="V61">
        <v>1180</v>
      </c>
      <c r="W61">
        <v>1023</v>
      </c>
      <c r="X61">
        <v>7472</v>
      </c>
      <c r="Y61">
        <v>822</v>
      </c>
      <c r="Z61">
        <v>5375</v>
      </c>
      <c r="AA61">
        <v>2688</v>
      </c>
      <c r="AB61">
        <v>13.912000000000001</v>
      </c>
      <c r="AC61">
        <v>16357</v>
      </c>
      <c r="AD61">
        <v>0.61</v>
      </c>
      <c r="AE61" s="1">
        <v>0.45481674190833199</v>
      </c>
    </row>
    <row r="62" spans="1:31" x14ac:dyDescent="0.25">
      <c r="A62">
        <v>12619</v>
      </c>
      <c r="B62">
        <v>1487</v>
      </c>
      <c r="C62">
        <v>1997</v>
      </c>
      <c r="D62">
        <v>230</v>
      </c>
      <c r="E62">
        <v>492</v>
      </c>
      <c r="F62">
        <v>12227</v>
      </c>
      <c r="G62">
        <v>13.52</v>
      </c>
      <c r="H62">
        <v>6.6</v>
      </c>
      <c r="I62">
        <v>6.21</v>
      </c>
      <c r="J62">
        <v>0.48</v>
      </c>
      <c r="K62">
        <v>1.02</v>
      </c>
      <c r="L62">
        <v>25.32</v>
      </c>
      <c r="M62">
        <v>4.62</v>
      </c>
      <c r="N62">
        <v>19.86</v>
      </c>
      <c r="O62">
        <v>19.97</v>
      </c>
      <c r="P62">
        <v>7.67</v>
      </c>
      <c r="Q62">
        <v>25.42</v>
      </c>
      <c r="R62">
        <v>33.770000000000003</v>
      </c>
      <c r="S62">
        <v>14.33</v>
      </c>
      <c r="T62">
        <v>2163</v>
      </c>
      <c r="U62">
        <v>1904</v>
      </c>
      <c r="V62">
        <v>1182</v>
      </c>
      <c r="W62">
        <v>1001</v>
      </c>
      <c r="X62">
        <v>7503</v>
      </c>
      <c r="Y62">
        <v>829</v>
      </c>
      <c r="Z62">
        <v>5353</v>
      </c>
      <c r="AA62">
        <v>2755</v>
      </c>
      <c r="AB62">
        <v>13.843</v>
      </c>
      <c r="AC62">
        <v>16440</v>
      </c>
      <c r="AD62">
        <v>0.63</v>
      </c>
      <c r="AE62" s="1">
        <v>0.45695921646644699</v>
      </c>
    </row>
    <row r="63" spans="1:31" x14ac:dyDescent="0.25">
      <c r="A63">
        <v>10873</v>
      </c>
      <c r="B63">
        <v>1577</v>
      </c>
      <c r="C63">
        <v>2020</v>
      </c>
      <c r="D63">
        <v>8</v>
      </c>
      <c r="E63">
        <v>501</v>
      </c>
      <c r="F63">
        <v>12196</v>
      </c>
      <c r="G63">
        <v>11.65</v>
      </c>
      <c r="H63">
        <v>7</v>
      </c>
      <c r="I63">
        <v>6.28</v>
      </c>
      <c r="J63">
        <v>0.02</v>
      </c>
      <c r="K63">
        <v>1.04</v>
      </c>
      <c r="L63">
        <v>25.26</v>
      </c>
      <c r="M63">
        <v>4.9000000000000004</v>
      </c>
      <c r="N63">
        <v>20.079999999999998</v>
      </c>
      <c r="O63">
        <v>20.079999999999998</v>
      </c>
      <c r="P63">
        <v>6.23</v>
      </c>
      <c r="Q63">
        <v>24.84</v>
      </c>
      <c r="R63">
        <v>33.68</v>
      </c>
      <c r="S63">
        <v>15.15</v>
      </c>
      <c r="T63">
        <v>2080</v>
      </c>
      <c r="U63">
        <v>1904</v>
      </c>
      <c r="V63">
        <v>1179</v>
      </c>
      <c r="W63">
        <v>1085</v>
      </c>
      <c r="X63">
        <v>7572</v>
      </c>
      <c r="Y63">
        <v>801</v>
      </c>
      <c r="Z63">
        <v>5361</v>
      </c>
      <c r="AA63">
        <v>2517</v>
      </c>
      <c r="AB63">
        <v>14.391</v>
      </c>
      <c r="AC63">
        <v>16251</v>
      </c>
      <c r="AD63">
        <v>0.6</v>
      </c>
      <c r="AE63" s="1">
        <v>0.45963730966409</v>
      </c>
    </row>
    <row r="64" spans="1:31" x14ac:dyDescent="0.25">
      <c r="A64">
        <v>14675</v>
      </c>
      <c r="B64">
        <v>1747</v>
      </c>
      <c r="C64">
        <v>1972</v>
      </c>
      <c r="D64">
        <v>1</v>
      </c>
      <c r="E64">
        <v>538</v>
      </c>
      <c r="F64">
        <v>12143</v>
      </c>
      <c r="G64">
        <v>15.72</v>
      </c>
      <c r="H64">
        <v>7.75</v>
      </c>
      <c r="I64">
        <v>6.13</v>
      </c>
      <c r="J64">
        <v>0</v>
      </c>
      <c r="K64">
        <v>1.1200000000000001</v>
      </c>
      <c r="L64">
        <v>25.15</v>
      </c>
      <c r="M64">
        <v>5.43</v>
      </c>
      <c r="N64">
        <v>19.600000000000001</v>
      </c>
      <c r="O64">
        <v>18.52</v>
      </c>
      <c r="P64">
        <v>9.65</v>
      </c>
      <c r="Q64">
        <v>24.82</v>
      </c>
      <c r="R64">
        <v>33.54</v>
      </c>
      <c r="S64">
        <v>16.75</v>
      </c>
      <c r="T64">
        <v>2077</v>
      </c>
      <c r="U64">
        <v>1904</v>
      </c>
      <c r="V64">
        <v>1173</v>
      </c>
      <c r="W64">
        <v>800</v>
      </c>
      <c r="X64">
        <v>7415</v>
      </c>
      <c r="Y64">
        <v>896</v>
      </c>
      <c r="Z64">
        <v>5344</v>
      </c>
      <c r="AA64">
        <v>3137</v>
      </c>
      <c r="AB64">
        <v>12.994</v>
      </c>
      <c r="AC64">
        <v>16792</v>
      </c>
      <c r="AD64">
        <v>0.64</v>
      </c>
      <c r="AE64" s="1">
        <v>0.45979034356109799</v>
      </c>
    </row>
    <row r="65" spans="1:31" x14ac:dyDescent="0.25">
      <c r="A65">
        <v>12209</v>
      </c>
      <c r="B65">
        <v>1380</v>
      </c>
      <c r="C65">
        <v>2078</v>
      </c>
      <c r="D65">
        <v>388</v>
      </c>
      <c r="E65">
        <v>581</v>
      </c>
      <c r="F65">
        <v>11754</v>
      </c>
      <c r="G65">
        <v>13.08</v>
      </c>
      <c r="H65">
        <v>6.13</v>
      </c>
      <c r="I65">
        <v>6.45</v>
      </c>
      <c r="J65">
        <v>0.8</v>
      </c>
      <c r="K65">
        <v>1.2</v>
      </c>
      <c r="L65">
        <v>24.35</v>
      </c>
      <c r="M65">
        <v>4.29</v>
      </c>
      <c r="N65">
        <v>20.66</v>
      </c>
      <c r="O65">
        <v>20.69</v>
      </c>
      <c r="P65">
        <v>7.23</v>
      </c>
      <c r="Q65">
        <v>25.83</v>
      </c>
      <c r="R65">
        <v>32.46</v>
      </c>
      <c r="S65">
        <v>13.59</v>
      </c>
      <c r="T65">
        <v>2222</v>
      </c>
      <c r="U65">
        <v>1904</v>
      </c>
      <c r="V65">
        <v>1136</v>
      </c>
      <c r="W65">
        <v>1071</v>
      </c>
      <c r="X65">
        <v>7523</v>
      </c>
      <c r="Y65">
        <v>807</v>
      </c>
      <c r="Z65">
        <v>5379</v>
      </c>
      <c r="AA65">
        <v>2661</v>
      </c>
      <c r="AB65">
        <v>14.2</v>
      </c>
      <c r="AC65">
        <v>16370</v>
      </c>
      <c r="AD65">
        <v>0.63</v>
      </c>
      <c r="AE65" s="1">
        <v>0.45994337745810698</v>
      </c>
    </row>
    <row r="66" spans="1:31" x14ac:dyDescent="0.25">
      <c r="A66">
        <v>12334</v>
      </c>
      <c r="B66">
        <v>1743</v>
      </c>
      <c r="C66">
        <v>2012</v>
      </c>
      <c r="D66">
        <v>2</v>
      </c>
      <c r="E66">
        <v>388</v>
      </c>
      <c r="F66">
        <v>12104</v>
      </c>
      <c r="G66">
        <v>13.21</v>
      </c>
      <c r="H66">
        <v>7.74</v>
      </c>
      <c r="I66">
        <v>6.25</v>
      </c>
      <c r="J66">
        <v>0</v>
      </c>
      <c r="K66">
        <v>0.8</v>
      </c>
      <c r="L66">
        <v>25.07</v>
      </c>
      <c r="M66">
        <v>5.42</v>
      </c>
      <c r="N66">
        <v>20.010000000000002</v>
      </c>
      <c r="O66">
        <v>19.09</v>
      </c>
      <c r="P66">
        <v>7.57</v>
      </c>
      <c r="Q66">
        <v>24.82</v>
      </c>
      <c r="R66">
        <v>33.43</v>
      </c>
      <c r="S66">
        <v>16.37</v>
      </c>
      <c r="T66">
        <v>2077</v>
      </c>
      <c r="U66">
        <v>1904</v>
      </c>
      <c r="V66">
        <v>1170</v>
      </c>
      <c r="W66">
        <v>950</v>
      </c>
      <c r="X66">
        <v>7529</v>
      </c>
      <c r="Y66">
        <v>846</v>
      </c>
      <c r="Z66">
        <v>5358</v>
      </c>
      <c r="AA66">
        <v>2784</v>
      </c>
      <c r="AB66">
        <v>13.832000000000001</v>
      </c>
      <c r="AC66">
        <v>16517</v>
      </c>
      <c r="AD66">
        <v>0.6</v>
      </c>
      <c r="AE66" s="1">
        <v>0.461244165582676</v>
      </c>
    </row>
    <row r="67" spans="1:31" x14ac:dyDescent="0.25">
      <c r="A67">
        <v>5991</v>
      </c>
      <c r="B67">
        <v>1072</v>
      </c>
      <c r="C67">
        <v>2259</v>
      </c>
      <c r="D67">
        <v>13</v>
      </c>
      <c r="E67">
        <v>718</v>
      </c>
      <c r="F67">
        <v>11587</v>
      </c>
      <c r="G67">
        <v>6.42</v>
      </c>
      <c r="H67">
        <v>4.76</v>
      </c>
      <c r="I67">
        <v>7.02</v>
      </c>
      <c r="J67">
        <v>0.03</v>
      </c>
      <c r="K67">
        <v>1.49</v>
      </c>
      <c r="L67">
        <v>24</v>
      </c>
      <c r="M67">
        <v>3.33</v>
      </c>
      <c r="N67">
        <v>22.46</v>
      </c>
      <c r="O67">
        <v>24.4</v>
      </c>
      <c r="P67">
        <v>2.34</v>
      </c>
      <c r="Q67">
        <v>24.85</v>
      </c>
      <c r="R67">
        <v>32</v>
      </c>
      <c r="S67">
        <v>11.17</v>
      </c>
      <c r="T67">
        <v>2081</v>
      </c>
      <c r="U67">
        <v>1904</v>
      </c>
      <c r="V67">
        <v>1120</v>
      </c>
      <c r="W67">
        <v>1566</v>
      </c>
      <c r="X67">
        <v>7653</v>
      </c>
      <c r="Y67">
        <v>644</v>
      </c>
      <c r="Z67">
        <v>5440</v>
      </c>
      <c r="AA67">
        <v>1637</v>
      </c>
      <c r="AB67">
        <v>16.414999999999999</v>
      </c>
      <c r="AC67">
        <v>15374</v>
      </c>
      <c r="AD67">
        <v>0.61</v>
      </c>
      <c r="AE67" s="1">
        <v>0.462315402861733</v>
      </c>
    </row>
    <row r="68" spans="1:31" x14ac:dyDescent="0.25">
      <c r="A68">
        <v>12042</v>
      </c>
      <c r="B68">
        <v>1747</v>
      </c>
      <c r="C68">
        <v>1972</v>
      </c>
      <c r="D68">
        <v>1</v>
      </c>
      <c r="E68">
        <v>538</v>
      </c>
      <c r="F68">
        <v>12143</v>
      </c>
      <c r="G68">
        <v>12.9</v>
      </c>
      <c r="H68">
        <v>7.75</v>
      </c>
      <c r="I68">
        <v>6.13</v>
      </c>
      <c r="J68">
        <v>0</v>
      </c>
      <c r="K68">
        <v>1.1100000000000001</v>
      </c>
      <c r="L68">
        <v>25.15</v>
      </c>
      <c r="M68">
        <v>5.43</v>
      </c>
      <c r="N68">
        <v>19.600000000000001</v>
      </c>
      <c r="O68">
        <v>19.03</v>
      </c>
      <c r="P68">
        <v>7.34</v>
      </c>
      <c r="Q68">
        <v>24.82</v>
      </c>
      <c r="R68">
        <v>33.54</v>
      </c>
      <c r="S68">
        <v>16.75</v>
      </c>
      <c r="T68">
        <v>2077</v>
      </c>
      <c r="U68">
        <v>1904</v>
      </c>
      <c r="V68">
        <v>1173</v>
      </c>
      <c r="W68">
        <v>958</v>
      </c>
      <c r="X68">
        <v>7574</v>
      </c>
      <c r="Y68">
        <v>843</v>
      </c>
      <c r="Z68">
        <v>5344</v>
      </c>
      <c r="AA68">
        <v>2741</v>
      </c>
      <c r="AB68">
        <v>13.967000000000001</v>
      </c>
      <c r="AC68">
        <v>16502</v>
      </c>
      <c r="AD68">
        <v>0.6</v>
      </c>
      <c r="AE68" s="1">
        <v>0.46369270793480699</v>
      </c>
    </row>
    <row r="69" spans="1:31" x14ac:dyDescent="0.25">
      <c r="A69">
        <v>7925</v>
      </c>
      <c r="B69">
        <v>1434</v>
      </c>
      <c r="C69">
        <v>2064</v>
      </c>
      <c r="D69">
        <v>1</v>
      </c>
      <c r="E69">
        <v>707</v>
      </c>
      <c r="F69">
        <v>12004</v>
      </c>
      <c r="G69">
        <v>8.49</v>
      </c>
      <c r="H69">
        <v>6.36</v>
      </c>
      <c r="I69">
        <v>6.41</v>
      </c>
      <c r="J69">
        <v>0</v>
      </c>
      <c r="K69">
        <v>1.46</v>
      </c>
      <c r="L69">
        <v>24.86</v>
      </c>
      <c r="M69">
        <v>4.45</v>
      </c>
      <c r="N69">
        <v>20.52</v>
      </c>
      <c r="O69">
        <v>21.6</v>
      </c>
      <c r="P69">
        <v>3.82</v>
      </c>
      <c r="Q69">
        <v>24.82</v>
      </c>
      <c r="R69">
        <v>33.15</v>
      </c>
      <c r="S69">
        <v>14.36</v>
      </c>
      <c r="T69">
        <v>2077</v>
      </c>
      <c r="U69">
        <v>1904</v>
      </c>
      <c r="V69">
        <v>1160</v>
      </c>
      <c r="W69">
        <v>1311</v>
      </c>
      <c r="X69">
        <v>7707</v>
      </c>
      <c r="Y69">
        <v>726</v>
      </c>
      <c r="Z69">
        <v>5375</v>
      </c>
      <c r="AA69">
        <v>2032</v>
      </c>
      <c r="AB69">
        <v>15.579000000000001</v>
      </c>
      <c r="AC69">
        <v>15840</v>
      </c>
      <c r="AD69">
        <v>0.57999999999999996</v>
      </c>
      <c r="AE69" s="1">
        <v>0.46507001300788098</v>
      </c>
    </row>
    <row r="70" spans="1:31" x14ac:dyDescent="0.25">
      <c r="A70">
        <v>14675</v>
      </c>
      <c r="B70">
        <v>1885</v>
      </c>
      <c r="C70">
        <v>1972</v>
      </c>
      <c r="D70">
        <v>1</v>
      </c>
      <c r="E70">
        <v>538</v>
      </c>
      <c r="F70">
        <v>11936</v>
      </c>
      <c r="G70">
        <v>15.72</v>
      </c>
      <c r="H70">
        <v>8.3699999999999992</v>
      </c>
      <c r="I70">
        <v>6.13</v>
      </c>
      <c r="J70">
        <v>0</v>
      </c>
      <c r="K70">
        <v>1.1200000000000001</v>
      </c>
      <c r="L70">
        <v>24.72</v>
      </c>
      <c r="M70">
        <v>5.86</v>
      </c>
      <c r="N70">
        <v>19.600000000000001</v>
      </c>
      <c r="O70">
        <v>18.010000000000002</v>
      </c>
      <c r="P70">
        <v>9.75</v>
      </c>
      <c r="Q70">
        <v>24.82</v>
      </c>
      <c r="R70">
        <v>32.97</v>
      </c>
      <c r="S70">
        <v>17.97</v>
      </c>
      <c r="T70">
        <v>2077</v>
      </c>
      <c r="U70">
        <v>1904</v>
      </c>
      <c r="V70">
        <v>1154</v>
      </c>
      <c r="W70">
        <v>761</v>
      </c>
      <c r="X70">
        <v>7462</v>
      </c>
      <c r="Y70">
        <v>909</v>
      </c>
      <c r="Z70">
        <v>5345</v>
      </c>
      <c r="AA70">
        <v>3175</v>
      </c>
      <c r="AB70">
        <v>13.032999999999999</v>
      </c>
      <c r="AC70">
        <v>16891</v>
      </c>
      <c r="AD70">
        <v>0.63</v>
      </c>
      <c r="AE70" s="1">
        <v>0.46522304690488903</v>
      </c>
    </row>
    <row r="71" spans="1:31" x14ac:dyDescent="0.25">
      <c r="A71">
        <v>10861</v>
      </c>
      <c r="B71">
        <v>1795</v>
      </c>
      <c r="C71">
        <v>1997</v>
      </c>
      <c r="D71">
        <v>12</v>
      </c>
      <c r="E71">
        <v>377</v>
      </c>
      <c r="F71">
        <v>12102</v>
      </c>
      <c r="G71">
        <v>11.64</v>
      </c>
      <c r="H71">
        <v>7.97</v>
      </c>
      <c r="I71">
        <v>6.2</v>
      </c>
      <c r="J71">
        <v>0.02</v>
      </c>
      <c r="K71">
        <v>0.78</v>
      </c>
      <c r="L71">
        <v>25.07</v>
      </c>
      <c r="M71">
        <v>5.58</v>
      </c>
      <c r="N71">
        <v>19.850000000000001</v>
      </c>
      <c r="O71">
        <v>19.18</v>
      </c>
      <c r="P71">
        <v>6.36</v>
      </c>
      <c r="Q71">
        <v>24.85</v>
      </c>
      <c r="R71">
        <v>33.42</v>
      </c>
      <c r="S71">
        <v>16.8</v>
      </c>
      <c r="T71">
        <v>2081</v>
      </c>
      <c r="U71">
        <v>1904</v>
      </c>
      <c r="V71">
        <v>1170</v>
      </c>
      <c r="W71">
        <v>1021</v>
      </c>
      <c r="X71">
        <v>7641</v>
      </c>
      <c r="Y71">
        <v>823</v>
      </c>
      <c r="Z71">
        <v>5354</v>
      </c>
      <c r="AA71">
        <v>2577</v>
      </c>
      <c r="AB71">
        <v>14.375999999999999</v>
      </c>
      <c r="AC71">
        <v>16395</v>
      </c>
      <c r="AD71">
        <v>0.57999999999999996</v>
      </c>
      <c r="AE71" s="1">
        <v>0.46545259775040099</v>
      </c>
    </row>
    <row r="72" spans="1:31" x14ac:dyDescent="0.25">
      <c r="A72">
        <v>14708</v>
      </c>
      <c r="B72">
        <v>1795</v>
      </c>
      <c r="C72">
        <v>1997</v>
      </c>
      <c r="D72">
        <v>12</v>
      </c>
      <c r="E72">
        <v>720</v>
      </c>
      <c r="F72">
        <v>11759</v>
      </c>
      <c r="G72">
        <v>15.76</v>
      </c>
      <c r="H72">
        <v>7.97</v>
      </c>
      <c r="I72">
        <v>6.2</v>
      </c>
      <c r="J72">
        <v>0.02</v>
      </c>
      <c r="K72">
        <v>1.49</v>
      </c>
      <c r="L72">
        <v>24.36</v>
      </c>
      <c r="M72">
        <v>5.58</v>
      </c>
      <c r="N72">
        <v>19.850000000000001</v>
      </c>
      <c r="O72">
        <v>18.399999999999999</v>
      </c>
      <c r="P72">
        <v>9.6999999999999993</v>
      </c>
      <c r="Q72">
        <v>24.85</v>
      </c>
      <c r="R72">
        <v>32.47</v>
      </c>
      <c r="S72">
        <v>17.59</v>
      </c>
      <c r="T72">
        <v>2081</v>
      </c>
      <c r="U72">
        <v>1904</v>
      </c>
      <c r="V72">
        <v>1136</v>
      </c>
      <c r="W72">
        <v>789</v>
      </c>
      <c r="X72">
        <v>7444</v>
      </c>
      <c r="Y72">
        <v>900</v>
      </c>
      <c r="Z72">
        <v>5354</v>
      </c>
      <c r="AA72">
        <v>3155</v>
      </c>
      <c r="AB72">
        <v>13.115</v>
      </c>
      <c r="AC72">
        <v>16853</v>
      </c>
      <c r="AD72">
        <v>0.64</v>
      </c>
      <c r="AE72" s="1">
        <v>0.46552911469890501</v>
      </c>
    </row>
    <row r="73" spans="1:31" x14ac:dyDescent="0.25">
      <c r="A73">
        <v>12702</v>
      </c>
      <c r="B73">
        <v>1897</v>
      </c>
      <c r="C73">
        <v>1916</v>
      </c>
      <c r="D73">
        <v>1</v>
      </c>
      <c r="E73">
        <v>478</v>
      </c>
      <c r="F73">
        <v>12243</v>
      </c>
      <c r="G73">
        <v>13.61</v>
      </c>
      <c r="H73">
        <v>8.42</v>
      </c>
      <c r="I73">
        <v>5.95</v>
      </c>
      <c r="J73">
        <v>0</v>
      </c>
      <c r="K73">
        <v>0.99</v>
      </c>
      <c r="L73">
        <v>25.36</v>
      </c>
      <c r="M73">
        <v>5.9</v>
      </c>
      <c r="N73">
        <v>19.05</v>
      </c>
      <c r="O73">
        <v>18.18</v>
      </c>
      <c r="P73">
        <v>8.0299999999999994</v>
      </c>
      <c r="Q73">
        <v>24.82</v>
      </c>
      <c r="R73">
        <v>33.81</v>
      </c>
      <c r="S73">
        <v>17.940000000000001</v>
      </c>
      <c r="T73">
        <v>2077</v>
      </c>
      <c r="U73">
        <v>1904</v>
      </c>
      <c r="V73">
        <v>1183</v>
      </c>
      <c r="W73">
        <v>866</v>
      </c>
      <c r="X73">
        <v>7594</v>
      </c>
      <c r="Y73">
        <v>873</v>
      </c>
      <c r="Z73">
        <v>5327</v>
      </c>
      <c r="AA73">
        <v>2883</v>
      </c>
      <c r="AB73">
        <v>13.678000000000001</v>
      </c>
      <c r="AC73">
        <v>16677</v>
      </c>
      <c r="AD73">
        <v>0.59</v>
      </c>
      <c r="AE73" s="1">
        <v>0.46629428418394597</v>
      </c>
    </row>
    <row r="74" spans="1:31" x14ac:dyDescent="0.25">
      <c r="A74">
        <v>9562</v>
      </c>
      <c r="B74">
        <v>1381</v>
      </c>
      <c r="C74">
        <v>1960</v>
      </c>
      <c r="D74">
        <v>9</v>
      </c>
      <c r="E74">
        <v>1264</v>
      </c>
      <c r="F74">
        <v>12014</v>
      </c>
      <c r="G74">
        <v>10.24</v>
      </c>
      <c r="H74">
        <v>6.13</v>
      </c>
      <c r="I74">
        <v>6.09</v>
      </c>
      <c r="J74">
        <v>0.02</v>
      </c>
      <c r="K74">
        <v>2.62</v>
      </c>
      <c r="L74">
        <v>24.88</v>
      </c>
      <c r="M74">
        <v>4.29</v>
      </c>
      <c r="N74">
        <v>19.489999999999998</v>
      </c>
      <c r="O74">
        <v>21.02</v>
      </c>
      <c r="P74">
        <v>5.09</v>
      </c>
      <c r="Q74">
        <v>24.84</v>
      </c>
      <c r="R74">
        <v>33.18</v>
      </c>
      <c r="S74">
        <v>15.17</v>
      </c>
      <c r="T74">
        <v>2080</v>
      </c>
      <c r="U74">
        <v>1904</v>
      </c>
      <c r="V74">
        <v>1161</v>
      </c>
      <c r="W74">
        <v>1207</v>
      </c>
      <c r="X74">
        <v>7677</v>
      </c>
      <c r="Y74">
        <v>760</v>
      </c>
      <c r="Z74">
        <v>5340</v>
      </c>
      <c r="AA74">
        <v>2266</v>
      </c>
      <c r="AB74">
        <v>15.115</v>
      </c>
      <c r="AC74">
        <v>16043</v>
      </c>
      <c r="AD74">
        <v>0.59</v>
      </c>
      <c r="AE74" s="1">
        <v>0.46698293672048302</v>
      </c>
    </row>
    <row r="75" spans="1:31" x14ac:dyDescent="0.25">
      <c r="A75">
        <v>12005</v>
      </c>
      <c r="B75">
        <v>1834</v>
      </c>
      <c r="C75">
        <v>2101</v>
      </c>
      <c r="D75">
        <v>10</v>
      </c>
      <c r="E75">
        <v>379</v>
      </c>
      <c r="F75">
        <v>11543</v>
      </c>
      <c r="G75">
        <v>12.86</v>
      </c>
      <c r="H75">
        <v>8.14</v>
      </c>
      <c r="I75">
        <v>6.53</v>
      </c>
      <c r="J75">
        <v>0.02</v>
      </c>
      <c r="K75">
        <v>0.79</v>
      </c>
      <c r="L75">
        <v>23.91</v>
      </c>
      <c r="M75">
        <v>5.7</v>
      </c>
      <c r="N75">
        <v>20.89</v>
      </c>
      <c r="O75">
        <v>19.05</v>
      </c>
      <c r="P75">
        <v>7.3</v>
      </c>
      <c r="Q75">
        <v>24.85</v>
      </c>
      <c r="R75">
        <v>31.88</v>
      </c>
      <c r="S75">
        <v>17.149999999999999</v>
      </c>
      <c r="T75">
        <v>2080</v>
      </c>
      <c r="U75">
        <v>1904</v>
      </c>
      <c r="V75">
        <v>1116</v>
      </c>
      <c r="W75">
        <v>961</v>
      </c>
      <c r="X75">
        <v>7557</v>
      </c>
      <c r="Y75">
        <v>844</v>
      </c>
      <c r="Z75">
        <v>5388</v>
      </c>
      <c r="AA75">
        <v>2757</v>
      </c>
      <c r="AB75">
        <v>14.074999999999999</v>
      </c>
      <c r="AC75">
        <v>16546</v>
      </c>
      <c r="AD75">
        <v>0.6</v>
      </c>
      <c r="AE75" s="1">
        <v>0.46713597061749101</v>
      </c>
    </row>
    <row r="76" spans="1:31" x14ac:dyDescent="0.25">
      <c r="A76">
        <v>12132</v>
      </c>
      <c r="B76">
        <v>1897</v>
      </c>
      <c r="C76">
        <v>1916</v>
      </c>
      <c r="D76">
        <v>1</v>
      </c>
      <c r="E76">
        <v>478</v>
      </c>
      <c r="F76">
        <v>12243</v>
      </c>
      <c r="G76">
        <v>13</v>
      </c>
      <c r="H76">
        <v>8.42</v>
      </c>
      <c r="I76">
        <v>5.95</v>
      </c>
      <c r="J76">
        <v>0</v>
      </c>
      <c r="K76">
        <v>0.99</v>
      </c>
      <c r="L76">
        <v>25.36</v>
      </c>
      <c r="M76">
        <v>5.9</v>
      </c>
      <c r="N76">
        <v>19.05</v>
      </c>
      <c r="O76">
        <v>18.3</v>
      </c>
      <c r="P76">
        <v>7.54</v>
      </c>
      <c r="Q76">
        <v>24.82</v>
      </c>
      <c r="R76">
        <v>33.81</v>
      </c>
      <c r="S76">
        <v>17.940000000000001</v>
      </c>
      <c r="T76">
        <v>2077</v>
      </c>
      <c r="U76">
        <v>1904</v>
      </c>
      <c r="V76">
        <v>1183</v>
      </c>
      <c r="W76">
        <v>900</v>
      </c>
      <c r="X76">
        <v>7628</v>
      </c>
      <c r="Y76">
        <v>862</v>
      </c>
      <c r="Z76">
        <v>5327</v>
      </c>
      <c r="AA76">
        <v>2798</v>
      </c>
      <c r="AB76">
        <v>13.888999999999999</v>
      </c>
      <c r="AC76">
        <v>16615</v>
      </c>
      <c r="AD76">
        <v>0.59</v>
      </c>
      <c r="AE76" s="1">
        <v>0.46721248756599498</v>
      </c>
    </row>
    <row r="77" spans="1:31" x14ac:dyDescent="0.25">
      <c r="A77">
        <v>6000</v>
      </c>
      <c r="B77">
        <v>1312</v>
      </c>
      <c r="C77">
        <v>2092</v>
      </c>
      <c r="D77">
        <v>10</v>
      </c>
      <c r="E77">
        <v>723</v>
      </c>
      <c r="F77">
        <v>12024</v>
      </c>
      <c r="G77">
        <v>6.43</v>
      </c>
      <c r="H77">
        <v>5.82</v>
      </c>
      <c r="I77">
        <v>6.5</v>
      </c>
      <c r="J77">
        <v>0.02</v>
      </c>
      <c r="K77">
        <v>1.5</v>
      </c>
      <c r="L77">
        <v>24.91</v>
      </c>
      <c r="M77">
        <v>4.08</v>
      </c>
      <c r="N77">
        <v>20.8</v>
      </c>
      <c r="O77">
        <v>22.93</v>
      </c>
      <c r="P77">
        <v>2.46</v>
      </c>
      <c r="Q77">
        <v>24.85</v>
      </c>
      <c r="R77">
        <v>33.21</v>
      </c>
      <c r="S77">
        <v>13.31</v>
      </c>
      <c r="T77">
        <v>2080</v>
      </c>
      <c r="U77">
        <v>1904</v>
      </c>
      <c r="V77">
        <v>1162</v>
      </c>
      <c r="W77">
        <v>1467</v>
      </c>
      <c r="X77">
        <v>7778</v>
      </c>
      <c r="Y77">
        <v>675</v>
      </c>
      <c r="Z77">
        <v>5385</v>
      </c>
      <c r="AA77">
        <v>1708</v>
      </c>
      <c r="AB77">
        <v>16.300999999999998</v>
      </c>
      <c r="AC77">
        <v>15546</v>
      </c>
      <c r="AD77">
        <v>0.56999999999999995</v>
      </c>
      <c r="AE77" s="1">
        <v>0.467442038411508</v>
      </c>
    </row>
    <row r="78" spans="1:31" x14ac:dyDescent="0.25">
      <c r="A78">
        <v>7533</v>
      </c>
      <c r="B78">
        <v>1614</v>
      </c>
      <c r="C78">
        <v>2013</v>
      </c>
      <c r="D78">
        <v>1</v>
      </c>
      <c r="E78">
        <v>506</v>
      </c>
      <c r="F78">
        <v>12175</v>
      </c>
      <c r="G78">
        <v>8.07</v>
      </c>
      <c r="H78">
        <v>7.16</v>
      </c>
      <c r="I78">
        <v>6.26</v>
      </c>
      <c r="J78">
        <v>0</v>
      </c>
      <c r="K78">
        <v>1.05</v>
      </c>
      <c r="L78">
        <v>25.22</v>
      </c>
      <c r="M78">
        <v>5.01</v>
      </c>
      <c r="N78">
        <v>20.02</v>
      </c>
      <c r="O78">
        <v>20.88</v>
      </c>
      <c r="P78">
        <v>3.64</v>
      </c>
      <c r="Q78">
        <v>24.82</v>
      </c>
      <c r="R78">
        <v>33.619999999999997</v>
      </c>
      <c r="S78">
        <v>15.49</v>
      </c>
      <c r="T78">
        <v>2077</v>
      </c>
      <c r="U78">
        <v>1904</v>
      </c>
      <c r="V78">
        <v>1177</v>
      </c>
      <c r="W78">
        <v>1275</v>
      </c>
      <c r="X78">
        <v>7786</v>
      </c>
      <c r="Y78">
        <v>738</v>
      </c>
      <c r="Z78">
        <v>5358</v>
      </c>
      <c r="AA78">
        <v>2025</v>
      </c>
      <c r="AB78">
        <v>15.627000000000001</v>
      </c>
      <c r="AC78">
        <v>15907</v>
      </c>
      <c r="AD78">
        <v>0.56000000000000005</v>
      </c>
      <c r="AE78" s="1">
        <v>0.46820720789654902</v>
      </c>
    </row>
    <row r="79" spans="1:31" x14ac:dyDescent="0.25">
      <c r="A79">
        <v>5620</v>
      </c>
      <c r="B79">
        <v>600</v>
      </c>
      <c r="C79">
        <v>1975</v>
      </c>
      <c r="D79">
        <v>1</v>
      </c>
      <c r="E79">
        <v>2498</v>
      </c>
      <c r="F79">
        <v>11886</v>
      </c>
      <c r="G79">
        <v>6.02</v>
      </c>
      <c r="H79">
        <v>2.66</v>
      </c>
      <c r="I79">
        <v>6.14</v>
      </c>
      <c r="J79">
        <v>0</v>
      </c>
      <c r="K79">
        <v>5.17</v>
      </c>
      <c r="L79">
        <v>24.62</v>
      </c>
      <c r="M79">
        <v>1.86</v>
      </c>
      <c r="N79">
        <v>19.64</v>
      </c>
      <c r="O79">
        <v>25.73</v>
      </c>
      <c r="P79">
        <v>2.0499999999999998</v>
      </c>
      <c r="Q79">
        <v>24.82</v>
      </c>
      <c r="R79">
        <v>32.83</v>
      </c>
      <c r="S79">
        <v>11.08</v>
      </c>
      <c r="T79">
        <v>2077</v>
      </c>
      <c r="U79">
        <v>1904</v>
      </c>
      <c r="V79">
        <v>1149</v>
      </c>
      <c r="W79">
        <v>1665</v>
      </c>
      <c r="X79">
        <v>7768</v>
      </c>
      <c r="Y79">
        <v>607</v>
      </c>
      <c r="Z79">
        <v>5346</v>
      </c>
      <c r="AA79">
        <v>1454</v>
      </c>
      <c r="AB79">
        <v>16.945</v>
      </c>
      <c r="AC79">
        <v>15175</v>
      </c>
      <c r="AD79">
        <v>0.63</v>
      </c>
      <c r="AE79" s="1">
        <v>0.47157395363072901</v>
      </c>
    </row>
    <row r="80" spans="1:31" x14ac:dyDescent="0.25">
      <c r="A80">
        <v>5571</v>
      </c>
      <c r="B80">
        <v>572</v>
      </c>
      <c r="C80">
        <v>1974</v>
      </c>
      <c r="D80">
        <v>1</v>
      </c>
      <c r="E80">
        <v>2553</v>
      </c>
      <c r="F80">
        <v>11879</v>
      </c>
      <c r="G80">
        <v>5.97</v>
      </c>
      <c r="H80">
        <v>2.54</v>
      </c>
      <c r="I80">
        <v>6.13</v>
      </c>
      <c r="J80">
        <v>0</v>
      </c>
      <c r="K80">
        <v>5.29</v>
      </c>
      <c r="L80">
        <v>24.61</v>
      </c>
      <c r="M80">
        <v>1.78</v>
      </c>
      <c r="N80">
        <v>19.63</v>
      </c>
      <c r="O80">
        <v>25.87</v>
      </c>
      <c r="P80">
        <v>2.02</v>
      </c>
      <c r="Q80">
        <v>24.82</v>
      </c>
      <c r="R80">
        <v>32.81</v>
      </c>
      <c r="S80">
        <v>10.95</v>
      </c>
      <c r="T80">
        <v>2077</v>
      </c>
      <c r="U80">
        <v>1904</v>
      </c>
      <c r="V80">
        <v>1148</v>
      </c>
      <c r="W80">
        <v>1675</v>
      </c>
      <c r="X80">
        <v>7767</v>
      </c>
      <c r="Y80">
        <v>603</v>
      </c>
      <c r="Z80">
        <v>5346</v>
      </c>
      <c r="AA80">
        <v>1439</v>
      </c>
      <c r="AB80">
        <v>16.978999999999999</v>
      </c>
      <c r="AC80">
        <v>15155</v>
      </c>
      <c r="AD80">
        <v>0.63</v>
      </c>
      <c r="AE80" s="1">
        <v>0.47165047057923298</v>
      </c>
    </row>
    <row r="81" spans="1:31" x14ac:dyDescent="0.25">
      <c r="A81">
        <v>9256</v>
      </c>
      <c r="B81">
        <v>1657</v>
      </c>
      <c r="C81">
        <v>1884</v>
      </c>
      <c r="D81">
        <v>1</v>
      </c>
      <c r="E81">
        <v>1039</v>
      </c>
      <c r="F81">
        <v>12197</v>
      </c>
      <c r="G81">
        <v>9.92</v>
      </c>
      <c r="H81">
        <v>7.35</v>
      </c>
      <c r="I81">
        <v>5.85</v>
      </c>
      <c r="J81">
        <v>0</v>
      </c>
      <c r="K81">
        <v>2.15</v>
      </c>
      <c r="L81">
        <v>25.26</v>
      </c>
      <c r="M81">
        <v>5.15</v>
      </c>
      <c r="N81">
        <v>18.73</v>
      </c>
      <c r="O81">
        <v>19.82</v>
      </c>
      <c r="P81">
        <v>5.0199999999999996</v>
      </c>
      <c r="Q81">
        <v>24.82</v>
      </c>
      <c r="R81">
        <v>33.68</v>
      </c>
      <c r="S81">
        <v>17.100000000000001</v>
      </c>
      <c r="T81">
        <v>2077</v>
      </c>
      <c r="U81">
        <v>1904</v>
      </c>
      <c r="V81">
        <v>1179</v>
      </c>
      <c r="W81">
        <v>1134</v>
      </c>
      <c r="X81">
        <v>7785</v>
      </c>
      <c r="Y81">
        <v>783</v>
      </c>
      <c r="Z81">
        <v>5316</v>
      </c>
      <c r="AA81">
        <v>2298</v>
      </c>
      <c r="AB81">
        <v>15.114000000000001</v>
      </c>
      <c r="AC81">
        <v>16182</v>
      </c>
      <c r="AD81">
        <v>0.56000000000000005</v>
      </c>
      <c r="AE81" s="1">
        <v>0.472415640064274</v>
      </c>
    </row>
    <row r="82" spans="1:31" x14ac:dyDescent="0.25">
      <c r="A82">
        <v>8517</v>
      </c>
      <c r="B82">
        <v>1604</v>
      </c>
      <c r="C82">
        <v>2158</v>
      </c>
      <c r="D82">
        <v>12</v>
      </c>
      <c r="E82">
        <v>799</v>
      </c>
      <c r="F82">
        <v>11193</v>
      </c>
      <c r="G82">
        <v>9.1199999999999992</v>
      </c>
      <c r="H82">
        <v>7.12</v>
      </c>
      <c r="I82">
        <v>6.7</v>
      </c>
      <c r="J82">
        <v>0.02</v>
      </c>
      <c r="K82">
        <v>1.66</v>
      </c>
      <c r="L82">
        <v>23.18</v>
      </c>
      <c r="M82">
        <v>4.9800000000000004</v>
      </c>
      <c r="N82">
        <v>21.45</v>
      </c>
      <c r="O82">
        <v>20.99</v>
      </c>
      <c r="P82">
        <v>4.3099999999999996</v>
      </c>
      <c r="Q82">
        <v>24.85</v>
      </c>
      <c r="R82">
        <v>30.91</v>
      </c>
      <c r="S82">
        <v>16.079999999999998</v>
      </c>
      <c r="T82">
        <v>2081</v>
      </c>
      <c r="U82">
        <v>1904</v>
      </c>
      <c r="V82">
        <v>1082</v>
      </c>
      <c r="W82">
        <v>1246</v>
      </c>
      <c r="X82">
        <v>7717</v>
      </c>
      <c r="Y82">
        <v>749</v>
      </c>
      <c r="Z82">
        <v>5406</v>
      </c>
      <c r="AA82">
        <v>2168</v>
      </c>
      <c r="AB82">
        <v>15.56</v>
      </c>
      <c r="AC82">
        <v>16040</v>
      </c>
      <c r="AD82">
        <v>0.56999999999999995</v>
      </c>
      <c r="AE82" s="1">
        <v>0.47379294513734699</v>
      </c>
    </row>
    <row r="83" spans="1:31" x14ac:dyDescent="0.25">
      <c r="A83">
        <v>12539</v>
      </c>
      <c r="B83">
        <v>2044</v>
      </c>
      <c r="C83">
        <v>1823</v>
      </c>
      <c r="D83">
        <v>230</v>
      </c>
      <c r="E83">
        <v>479</v>
      </c>
      <c r="F83">
        <v>12239</v>
      </c>
      <c r="G83">
        <v>13.43</v>
      </c>
      <c r="H83">
        <v>9.07</v>
      </c>
      <c r="I83">
        <v>5.67</v>
      </c>
      <c r="J83">
        <v>0.48</v>
      </c>
      <c r="K83">
        <v>0.99</v>
      </c>
      <c r="L83">
        <v>25.35</v>
      </c>
      <c r="M83">
        <v>6.35</v>
      </c>
      <c r="N83">
        <v>18.13</v>
      </c>
      <c r="O83">
        <v>17.43</v>
      </c>
      <c r="P83">
        <v>8.0399999999999991</v>
      </c>
      <c r="Q83">
        <v>25.42</v>
      </c>
      <c r="R83">
        <v>33.799999999999997</v>
      </c>
      <c r="S83">
        <v>19.25</v>
      </c>
      <c r="T83">
        <v>2163</v>
      </c>
      <c r="U83">
        <v>1904</v>
      </c>
      <c r="V83">
        <v>1183</v>
      </c>
      <c r="W83">
        <v>817</v>
      </c>
      <c r="X83">
        <v>7743</v>
      </c>
      <c r="Y83">
        <v>888</v>
      </c>
      <c r="Z83">
        <v>5296</v>
      </c>
      <c r="AA83">
        <v>2901</v>
      </c>
      <c r="AB83">
        <v>13.836</v>
      </c>
      <c r="AC83">
        <v>16828</v>
      </c>
      <c r="AD83">
        <v>0.57999999999999996</v>
      </c>
      <c r="AE83" s="1">
        <v>0.47517025021042097</v>
      </c>
    </row>
    <row r="84" spans="1:31" x14ac:dyDescent="0.25">
      <c r="A84">
        <v>14937</v>
      </c>
      <c r="B84">
        <v>2275</v>
      </c>
      <c r="C84">
        <v>1797</v>
      </c>
      <c r="D84">
        <v>0</v>
      </c>
      <c r="E84">
        <v>477</v>
      </c>
      <c r="F84">
        <v>12250</v>
      </c>
      <c r="G84">
        <v>16</v>
      </c>
      <c r="H84">
        <v>10.1</v>
      </c>
      <c r="I84">
        <v>5.58</v>
      </c>
      <c r="J84">
        <v>0</v>
      </c>
      <c r="K84">
        <v>0.99</v>
      </c>
      <c r="L84">
        <v>25.37</v>
      </c>
      <c r="M84">
        <v>7.07</v>
      </c>
      <c r="N84">
        <v>17.87</v>
      </c>
      <c r="O84">
        <v>16.09</v>
      </c>
      <c r="P84">
        <v>10.39</v>
      </c>
      <c r="Q84">
        <v>24.82</v>
      </c>
      <c r="R84">
        <v>33.83</v>
      </c>
      <c r="S84">
        <v>21.29</v>
      </c>
      <c r="T84">
        <v>2077</v>
      </c>
      <c r="U84">
        <v>1904</v>
      </c>
      <c r="V84">
        <v>1184</v>
      </c>
      <c r="W84">
        <v>603</v>
      </c>
      <c r="X84">
        <v>7620</v>
      </c>
      <c r="Y84">
        <v>959</v>
      </c>
      <c r="Z84">
        <v>5287</v>
      </c>
      <c r="AA84">
        <v>3328</v>
      </c>
      <c r="AB84">
        <v>12.829000000000001</v>
      </c>
      <c r="AC84">
        <v>17194</v>
      </c>
      <c r="AD84">
        <v>0.6</v>
      </c>
      <c r="AE84" s="1">
        <v>0.47593541969546199</v>
      </c>
    </row>
    <row r="85" spans="1:31" x14ac:dyDescent="0.25">
      <c r="A85">
        <v>14659</v>
      </c>
      <c r="B85">
        <v>2288</v>
      </c>
      <c r="C85">
        <v>1793</v>
      </c>
      <c r="D85">
        <v>1</v>
      </c>
      <c r="E85">
        <v>478</v>
      </c>
      <c r="F85">
        <v>12248</v>
      </c>
      <c r="G85">
        <v>15.7</v>
      </c>
      <c r="H85">
        <v>10.15</v>
      </c>
      <c r="I85">
        <v>5.57</v>
      </c>
      <c r="J85">
        <v>0</v>
      </c>
      <c r="K85">
        <v>0.99</v>
      </c>
      <c r="L85">
        <v>25.37</v>
      </c>
      <c r="M85">
        <v>7.11</v>
      </c>
      <c r="N85">
        <v>17.829999999999998</v>
      </c>
      <c r="O85">
        <v>16.079999999999998</v>
      </c>
      <c r="P85">
        <v>10.15</v>
      </c>
      <c r="Q85">
        <v>24.82</v>
      </c>
      <c r="R85">
        <v>33.82</v>
      </c>
      <c r="S85">
        <v>21.41</v>
      </c>
      <c r="T85">
        <v>2077</v>
      </c>
      <c r="U85">
        <v>1904</v>
      </c>
      <c r="V85">
        <v>1184</v>
      </c>
      <c r="W85">
        <v>615</v>
      </c>
      <c r="X85">
        <v>7642</v>
      </c>
      <c r="Y85">
        <v>955</v>
      </c>
      <c r="Z85">
        <v>5285</v>
      </c>
      <c r="AA85">
        <v>3289</v>
      </c>
      <c r="AB85">
        <v>12.932</v>
      </c>
      <c r="AC85">
        <v>17171</v>
      </c>
      <c r="AD85">
        <v>0.59</v>
      </c>
      <c r="AE85" s="1">
        <v>0.47677710612900698</v>
      </c>
    </row>
    <row r="86" spans="1:31" x14ac:dyDescent="0.25">
      <c r="A86">
        <v>14718</v>
      </c>
      <c r="B86">
        <v>2222</v>
      </c>
      <c r="C86">
        <v>1769</v>
      </c>
      <c r="D86">
        <v>0</v>
      </c>
      <c r="E86">
        <v>735</v>
      </c>
      <c r="F86">
        <v>12208</v>
      </c>
      <c r="G86">
        <v>15.77</v>
      </c>
      <c r="H86">
        <v>9.86</v>
      </c>
      <c r="I86">
        <v>5.5</v>
      </c>
      <c r="J86">
        <v>0</v>
      </c>
      <c r="K86">
        <v>1.52</v>
      </c>
      <c r="L86">
        <v>25.29</v>
      </c>
      <c r="M86">
        <v>6.9</v>
      </c>
      <c r="N86">
        <v>17.59</v>
      </c>
      <c r="O86">
        <v>16.25</v>
      </c>
      <c r="P86">
        <v>10.16</v>
      </c>
      <c r="Q86">
        <v>24.82</v>
      </c>
      <c r="R86">
        <v>33.71</v>
      </c>
      <c r="S86">
        <v>21.41</v>
      </c>
      <c r="T86">
        <v>2077</v>
      </c>
      <c r="U86">
        <v>1904</v>
      </c>
      <c r="V86">
        <v>1180</v>
      </c>
      <c r="W86">
        <v>625</v>
      </c>
      <c r="X86">
        <v>7648</v>
      </c>
      <c r="Y86">
        <v>952</v>
      </c>
      <c r="Z86">
        <v>5278</v>
      </c>
      <c r="AA86">
        <v>3280</v>
      </c>
      <c r="AB86">
        <v>12.986000000000001</v>
      </c>
      <c r="AC86">
        <v>17158</v>
      </c>
      <c r="AD86">
        <v>0.6</v>
      </c>
      <c r="AE86" s="1">
        <v>0.478077894253577</v>
      </c>
    </row>
    <row r="87" spans="1:31" x14ac:dyDescent="0.25">
      <c r="A87">
        <v>12759</v>
      </c>
      <c r="B87">
        <v>2347</v>
      </c>
      <c r="C87">
        <v>1852</v>
      </c>
      <c r="D87">
        <v>2</v>
      </c>
      <c r="E87">
        <v>206</v>
      </c>
      <c r="F87">
        <v>12146</v>
      </c>
      <c r="G87">
        <v>13.67</v>
      </c>
      <c r="H87">
        <v>10.42</v>
      </c>
      <c r="I87">
        <v>5.76</v>
      </c>
      <c r="J87">
        <v>0</v>
      </c>
      <c r="K87">
        <v>0.43</v>
      </c>
      <c r="L87">
        <v>25.16</v>
      </c>
      <c r="M87">
        <v>7.29</v>
      </c>
      <c r="N87">
        <v>18.420000000000002</v>
      </c>
      <c r="O87">
        <v>16.350000000000001</v>
      </c>
      <c r="P87">
        <v>8.4600000000000009</v>
      </c>
      <c r="Q87">
        <v>24.83</v>
      </c>
      <c r="R87">
        <v>33.54</v>
      </c>
      <c r="S87">
        <v>21.31</v>
      </c>
      <c r="T87">
        <v>2077</v>
      </c>
      <c r="U87">
        <v>1904</v>
      </c>
      <c r="V87">
        <v>1174</v>
      </c>
      <c r="W87">
        <v>725</v>
      </c>
      <c r="X87">
        <v>7734</v>
      </c>
      <c r="Y87">
        <v>920</v>
      </c>
      <c r="Z87">
        <v>5306</v>
      </c>
      <c r="AA87">
        <v>3019</v>
      </c>
      <c r="AB87">
        <v>13.587</v>
      </c>
      <c r="AC87">
        <v>16979</v>
      </c>
      <c r="AD87">
        <v>0.56000000000000005</v>
      </c>
      <c r="AE87" s="1">
        <v>0.47815441120208102</v>
      </c>
    </row>
    <row r="88" spans="1:31" x14ac:dyDescent="0.25">
      <c r="A88">
        <v>6000</v>
      </c>
      <c r="B88">
        <v>1386</v>
      </c>
      <c r="C88">
        <v>2069</v>
      </c>
      <c r="D88">
        <v>10</v>
      </c>
      <c r="E88">
        <v>1273</v>
      </c>
      <c r="F88">
        <v>11473</v>
      </c>
      <c r="G88">
        <v>6.43</v>
      </c>
      <c r="H88">
        <v>6.15</v>
      </c>
      <c r="I88">
        <v>6.43</v>
      </c>
      <c r="J88">
        <v>0.02</v>
      </c>
      <c r="K88">
        <v>2.64</v>
      </c>
      <c r="L88">
        <v>23.76</v>
      </c>
      <c r="M88">
        <v>4.3</v>
      </c>
      <c r="N88">
        <v>20.57</v>
      </c>
      <c r="O88">
        <v>22.56</v>
      </c>
      <c r="P88">
        <v>2.4900000000000002</v>
      </c>
      <c r="Q88">
        <v>24.85</v>
      </c>
      <c r="R88">
        <v>31.69</v>
      </c>
      <c r="S88">
        <v>15.23</v>
      </c>
      <c r="T88">
        <v>2080</v>
      </c>
      <c r="U88">
        <v>1904</v>
      </c>
      <c r="V88">
        <v>1109</v>
      </c>
      <c r="W88">
        <v>1442</v>
      </c>
      <c r="X88">
        <v>7865</v>
      </c>
      <c r="Y88">
        <v>683</v>
      </c>
      <c r="Z88">
        <v>5377</v>
      </c>
      <c r="AA88">
        <v>1729</v>
      </c>
      <c r="AB88">
        <v>16.556000000000001</v>
      </c>
      <c r="AC88">
        <v>15654</v>
      </c>
      <c r="AD88">
        <v>0.56999999999999995</v>
      </c>
      <c r="AE88" s="1">
        <v>0.47930216542964199</v>
      </c>
    </row>
    <row r="89" spans="1:31" x14ac:dyDescent="0.25">
      <c r="A89">
        <v>13785</v>
      </c>
      <c r="B89">
        <v>2350</v>
      </c>
      <c r="C89">
        <v>1784</v>
      </c>
      <c r="D89">
        <v>1</v>
      </c>
      <c r="E89">
        <v>479</v>
      </c>
      <c r="F89">
        <v>12201</v>
      </c>
      <c r="G89">
        <v>14.77</v>
      </c>
      <c r="H89">
        <v>10.43</v>
      </c>
      <c r="I89">
        <v>5.54</v>
      </c>
      <c r="J89">
        <v>0</v>
      </c>
      <c r="K89">
        <v>0.99</v>
      </c>
      <c r="L89">
        <v>25.27</v>
      </c>
      <c r="M89">
        <v>7.3</v>
      </c>
      <c r="N89">
        <v>17.73</v>
      </c>
      <c r="O89">
        <v>15.98</v>
      </c>
      <c r="P89">
        <v>9.42</v>
      </c>
      <c r="Q89">
        <v>24.82</v>
      </c>
      <c r="R89">
        <v>33.700000000000003</v>
      </c>
      <c r="S89">
        <v>21.96</v>
      </c>
      <c r="T89">
        <v>2077</v>
      </c>
      <c r="U89">
        <v>1904</v>
      </c>
      <c r="V89">
        <v>1179</v>
      </c>
      <c r="W89">
        <v>649</v>
      </c>
      <c r="X89">
        <v>7718</v>
      </c>
      <c r="Y89">
        <v>944</v>
      </c>
      <c r="Z89">
        <v>5283</v>
      </c>
      <c r="AA89">
        <v>3175</v>
      </c>
      <c r="AB89">
        <v>13.262</v>
      </c>
      <c r="AC89">
        <v>17120</v>
      </c>
      <c r="AD89">
        <v>0.57999999999999996</v>
      </c>
      <c r="AE89" s="1">
        <v>0.480220368811691</v>
      </c>
    </row>
    <row r="90" spans="1:31" x14ac:dyDescent="0.25">
      <c r="A90">
        <v>14838</v>
      </c>
      <c r="B90">
        <v>2092</v>
      </c>
      <c r="C90">
        <v>1853</v>
      </c>
      <c r="D90">
        <v>8</v>
      </c>
      <c r="E90">
        <v>1074</v>
      </c>
      <c r="F90">
        <v>11651</v>
      </c>
      <c r="G90">
        <v>15.9</v>
      </c>
      <c r="H90">
        <v>9.2799999999999994</v>
      </c>
      <c r="I90">
        <v>5.76</v>
      </c>
      <c r="J90">
        <v>0.02</v>
      </c>
      <c r="K90">
        <v>2.2200000000000002</v>
      </c>
      <c r="L90">
        <v>24.13</v>
      </c>
      <c r="M90">
        <v>6.5</v>
      </c>
      <c r="N90">
        <v>18.43</v>
      </c>
      <c r="O90">
        <v>16.91</v>
      </c>
      <c r="P90">
        <v>10.119999999999999</v>
      </c>
      <c r="Q90">
        <v>24.84</v>
      </c>
      <c r="R90">
        <v>32.18</v>
      </c>
      <c r="S90">
        <v>21.04</v>
      </c>
      <c r="T90">
        <v>2080</v>
      </c>
      <c r="U90">
        <v>1904</v>
      </c>
      <c r="V90">
        <v>1126</v>
      </c>
      <c r="W90">
        <v>671</v>
      </c>
      <c r="X90">
        <v>7611</v>
      </c>
      <c r="Y90">
        <v>937</v>
      </c>
      <c r="Z90">
        <v>5305</v>
      </c>
      <c r="AA90">
        <v>3260</v>
      </c>
      <c r="AB90">
        <v>13.16</v>
      </c>
      <c r="AC90">
        <v>17113</v>
      </c>
      <c r="AD90">
        <v>0.61</v>
      </c>
      <c r="AE90" s="1">
        <v>0.48044991965720402</v>
      </c>
    </row>
    <row r="91" spans="1:31" x14ac:dyDescent="0.25">
      <c r="A91">
        <v>12347</v>
      </c>
      <c r="B91">
        <v>2318</v>
      </c>
      <c r="C91">
        <v>1781</v>
      </c>
      <c r="D91">
        <v>1</v>
      </c>
      <c r="E91">
        <v>508</v>
      </c>
      <c r="F91">
        <v>12234</v>
      </c>
      <c r="G91">
        <v>13.23</v>
      </c>
      <c r="H91">
        <v>10.29</v>
      </c>
      <c r="I91">
        <v>5.53</v>
      </c>
      <c r="J91">
        <v>0</v>
      </c>
      <c r="K91">
        <v>1.05</v>
      </c>
      <c r="L91">
        <v>25.34</v>
      </c>
      <c r="M91">
        <v>7.2</v>
      </c>
      <c r="N91">
        <v>17.7</v>
      </c>
      <c r="O91">
        <v>16.350000000000001</v>
      </c>
      <c r="P91">
        <v>8.11</v>
      </c>
      <c r="Q91">
        <v>24.82</v>
      </c>
      <c r="R91">
        <v>33.79</v>
      </c>
      <c r="S91">
        <v>21.75</v>
      </c>
      <c r="T91">
        <v>2077</v>
      </c>
      <c r="U91">
        <v>1904</v>
      </c>
      <c r="V91">
        <v>1182</v>
      </c>
      <c r="W91">
        <v>744</v>
      </c>
      <c r="X91">
        <v>7798</v>
      </c>
      <c r="Y91">
        <v>912</v>
      </c>
      <c r="Z91">
        <v>5283</v>
      </c>
      <c r="AA91">
        <v>2951</v>
      </c>
      <c r="AB91">
        <v>13.795</v>
      </c>
      <c r="AC91">
        <v>16944</v>
      </c>
      <c r="AD91">
        <v>0.55000000000000004</v>
      </c>
      <c r="AE91" s="1">
        <v>0.48144463998775699</v>
      </c>
    </row>
    <row r="92" spans="1:31" x14ac:dyDescent="0.25">
      <c r="A92">
        <v>6110</v>
      </c>
      <c r="B92">
        <v>1011</v>
      </c>
      <c r="C92">
        <v>1872</v>
      </c>
      <c r="D92">
        <v>8</v>
      </c>
      <c r="E92">
        <v>2463</v>
      </c>
      <c r="F92">
        <v>11792</v>
      </c>
      <c r="G92">
        <v>6.55</v>
      </c>
      <c r="H92">
        <v>4.49</v>
      </c>
      <c r="I92">
        <v>5.82</v>
      </c>
      <c r="J92">
        <v>0.02</v>
      </c>
      <c r="K92">
        <v>5.0999999999999996</v>
      </c>
      <c r="L92">
        <v>24.43</v>
      </c>
      <c r="M92">
        <v>3.14</v>
      </c>
      <c r="N92">
        <v>18.61</v>
      </c>
      <c r="O92">
        <v>23.48</v>
      </c>
      <c r="P92">
        <v>2.48</v>
      </c>
      <c r="Q92">
        <v>24.84</v>
      </c>
      <c r="R92">
        <v>32.57</v>
      </c>
      <c r="S92">
        <v>14.65</v>
      </c>
      <c r="T92">
        <v>2080</v>
      </c>
      <c r="U92">
        <v>1904</v>
      </c>
      <c r="V92">
        <v>1140</v>
      </c>
      <c r="W92">
        <v>1501</v>
      </c>
      <c r="X92">
        <v>7905</v>
      </c>
      <c r="Y92">
        <v>661</v>
      </c>
      <c r="Z92">
        <v>5312</v>
      </c>
      <c r="AA92">
        <v>1644</v>
      </c>
      <c r="AB92">
        <v>16.757000000000001</v>
      </c>
      <c r="AC92">
        <v>15522</v>
      </c>
      <c r="AD92">
        <v>0.59</v>
      </c>
      <c r="AE92" s="1">
        <v>0.481827224730277</v>
      </c>
    </row>
    <row r="93" spans="1:31" x14ac:dyDescent="0.25">
      <c r="A93">
        <v>12469</v>
      </c>
      <c r="B93">
        <v>2332</v>
      </c>
      <c r="C93">
        <v>1786</v>
      </c>
      <c r="D93">
        <v>0</v>
      </c>
      <c r="E93">
        <v>509</v>
      </c>
      <c r="F93">
        <v>12188</v>
      </c>
      <c r="G93">
        <v>13.36</v>
      </c>
      <c r="H93">
        <v>10.35</v>
      </c>
      <c r="I93">
        <v>5.55</v>
      </c>
      <c r="J93">
        <v>0</v>
      </c>
      <c r="K93">
        <v>1.05</v>
      </c>
      <c r="L93">
        <v>25.24</v>
      </c>
      <c r="M93">
        <v>7.25</v>
      </c>
      <c r="N93">
        <v>17.75</v>
      </c>
      <c r="O93">
        <v>16.29</v>
      </c>
      <c r="P93">
        <v>8.23</v>
      </c>
      <c r="Q93">
        <v>24.82</v>
      </c>
      <c r="R93">
        <v>33.659999999999997</v>
      </c>
      <c r="S93">
        <v>21.87</v>
      </c>
      <c r="T93">
        <v>2077</v>
      </c>
      <c r="U93">
        <v>1904</v>
      </c>
      <c r="V93">
        <v>1178</v>
      </c>
      <c r="W93">
        <v>733</v>
      </c>
      <c r="X93">
        <v>7794</v>
      </c>
      <c r="Y93">
        <v>916</v>
      </c>
      <c r="Z93">
        <v>5284</v>
      </c>
      <c r="AA93">
        <v>2972</v>
      </c>
      <c r="AB93">
        <v>13.76</v>
      </c>
      <c r="AC93">
        <v>16966</v>
      </c>
      <c r="AD93">
        <v>0.56000000000000005</v>
      </c>
      <c r="AE93" s="1">
        <v>0.48190374167878097</v>
      </c>
    </row>
    <row r="94" spans="1:31" x14ac:dyDescent="0.25">
      <c r="A94">
        <v>10732</v>
      </c>
      <c r="B94">
        <v>2274</v>
      </c>
      <c r="C94">
        <v>1797</v>
      </c>
      <c r="D94">
        <v>1</v>
      </c>
      <c r="E94">
        <v>476</v>
      </c>
      <c r="F94">
        <v>12251</v>
      </c>
      <c r="G94">
        <v>11.5</v>
      </c>
      <c r="H94">
        <v>10.09</v>
      </c>
      <c r="I94">
        <v>5.58</v>
      </c>
      <c r="J94">
        <v>0</v>
      </c>
      <c r="K94">
        <v>0.99</v>
      </c>
      <c r="L94">
        <v>25.38</v>
      </c>
      <c r="M94">
        <v>7.07</v>
      </c>
      <c r="N94">
        <v>17.87</v>
      </c>
      <c r="O94">
        <v>16.89</v>
      </c>
      <c r="P94">
        <v>6.68</v>
      </c>
      <c r="Q94">
        <v>24.82</v>
      </c>
      <c r="R94">
        <v>33.83</v>
      </c>
      <c r="S94">
        <v>21.29</v>
      </c>
      <c r="T94">
        <v>2077</v>
      </c>
      <c r="U94">
        <v>1904</v>
      </c>
      <c r="V94">
        <v>1184</v>
      </c>
      <c r="W94">
        <v>856</v>
      </c>
      <c r="X94">
        <v>7873</v>
      </c>
      <c r="Y94">
        <v>875</v>
      </c>
      <c r="Z94">
        <v>5287</v>
      </c>
      <c r="AA94">
        <v>2695</v>
      </c>
      <c r="AB94">
        <v>14.384</v>
      </c>
      <c r="AC94">
        <v>16730</v>
      </c>
      <c r="AD94">
        <v>0.53</v>
      </c>
      <c r="AE94" s="1">
        <v>0.48205677557579002</v>
      </c>
    </row>
    <row r="95" spans="1:31" x14ac:dyDescent="0.25">
      <c r="A95">
        <v>14605</v>
      </c>
      <c r="B95">
        <v>2415</v>
      </c>
      <c r="C95">
        <v>1767</v>
      </c>
      <c r="D95">
        <v>8</v>
      </c>
      <c r="E95">
        <v>523</v>
      </c>
      <c r="F95">
        <v>12130</v>
      </c>
      <c r="G95">
        <v>15.65</v>
      </c>
      <c r="H95">
        <v>10.72</v>
      </c>
      <c r="I95">
        <v>5.49</v>
      </c>
      <c r="J95">
        <v>0.02</v>
      </c>
      <c r="K95">
        <v>1.08</v>
      </c>
      <c r="L95">
        <v>25.13</v>
      </c>
      <c r="M95">
        <v>7.5</v>
      </c>
      <c r="N95">
        <v>17.57</v>
      </c>
      <c r="O95">
        <v>15.57</v>
      </c>
      <c r="P95">
        <v>10.23</v>
      </c>
      <c r="Q95">
        <v>24.84</v>
      </c>
      <c r="R95">
        <v>33.5</v>
      </c>
      <c r="S95">
        <v>22.64</v>
      </c>
      <c r="T95">
        <v>2080</v>
      </c>
      <c r="U95">
        <v>1904</v>
      </c>
      <c r="V95">
        <v>1172</v>
      </c>
      <c r="W95">
        <v>578</v>
      </c>
      <c r="X95">
        <v>7702</v>
      </c>
      <c r="Y95">
        <v>967</v>
      </c>
      <c r="Z95">
        <v>5277</v>
      </c>
      <c r="AA95">
        <v>3317</v>
      </c>
      <c r="AB95">
        <v>12.986000000000001</v>
      </c>
      <c r="AC95">
        <v>17263</v>
      </c>
      <c r="AD95">
        <v>0.57999999999999996</v>
      </c>
      <c r="AE95" s="1">
        <v>0.48243936031830997</v>
      </c>
    </row>
    <row r="96" spans="1:31" x14ac:dyDescent="0.25">
      <c r="A96">
        <v>14994</v>
      </c>
      <c r="B96">
        <v>2483</v>
      </c>
      <c r="C96">
        <v>1742</v>
      </c>
      <c r="D96">
        <v>1</v>
      </c>
      <c r="E96">
        <v>506</v>
      </c>
      <c r="F96">
        <v>12174</v>
      </c>
      <c r="G96">
        <v>16.059999999999999</v>
      </c>
      <c r="H96">
        <v>11.02</v>
      </c>
      <c r="I96">
        <v>5.41</v>
      </c>
      <c r="J96">
        <v>0</v>
      </c>
      <c r="K96">
        <v>1.05</v>
      </c>
      <c r="L96">
        <v>25.22</v>
      </c>
      <c r="M96">
        <v>7.71</v>
      </c>
      <c r="N96">
        <v>17.32</v>
      </c>
      <c r="O96">
        <v>15.21</v>
      </c>
      <c r="P96">
        <v>10.66</v>
      </c>
      <c r="Q96">
        <v>24.82</v>
      </c>
      <c r="R96">
        <v>33.619999999999997</v>
      </c>
      <c r="S96">
        <v>23.21</v>
      </c>
      <c r="T96">
        <v>2077</v>
      </c>
      <c r="U96">
        <v>1904</v>
      </c>
      <c r="V96">
        <v>1176</v>
      </c>
      <c r="W96">
        <v>531</v>
      </c>
      <c r="X96">
        <v>7705</v>
      </c>
      <c r="Y96">
        <v>983</v>
      </c>
      <c r="Z96">
        <v>5269</v>
      </c>
      <c r="AA96">
        <v>3395</v>
      </c>
      <c r="AB96">
        <v>12.821</v>
      </c>
      <c r="AC96">
        <v>17352</v>
      </c>
      <c r="AD96">
        <v>0.59</v>
      </c>
      <c r="AE96" s="1">
        <v>0.48389318233988798</v>
      </c>
    </row>
    <row r="97" spans="1:31" x14ac:dyDescent="0.25">
      <c r="A97">
        <v>9164</v>
      </c>
      <c r="B97">
        <v>2291</v>
      </c>
      <c r="C97">
        <v>1832</v>
      </c>
      <c r="D97">
        <v>2</v>
      </c>
      <c r="E97">
        <v>809</v>
      </c>
      <c r="F97">
        <v>11728</v>
      </c>
      <c r="G97">
        <v>9.82</v>
      </c>
      <c r="H97">
        <v>10.17</v>
      </c>
      <c r="I97">
        <v>5.69</v>
      </c>
      <c r="J97">
        <v>0</v>
      </c>
      <c r="K97">
        <v>1.68</v>
      </c>
      <c r="L97">
        <v>24.29</v>
      </c>
      <c r="M97">
        <v>7.12</v>
      </c>
      <c r="N97">
        <v>18.21</v>
      </c>
      <c r="O97">
        <v>17.3</v>
      </c>
      <c r="P97">
        <v>5.38</v>
      </c>
      <c r="Q97">
        <v>24.83</v>
      </c>
      <c r="R97">
        <v>32.39</v>
      </c>
      <c r="S97">
        <v>22.2</v>
      </c>
      <c r="T97">
        <v>2077</v>
      </c>
      <c r="U97">
        <v>1904</v>
      </c>
      <c r="V97">
        <v>1133</v>
      </c>
      <c r="W97">
        <v>953</v>
      </c>
      <c r="X97">
        <v>7998</v>
      </c>
      <c r="Y97">
        <v>844</v>
      </c>
      <c r="Z97">
        <v>5299</v>
      </c>
      <c r="AA97">
        <v>2463</v>
      </c>
      <c r="AB97">
        <v>15.161</v>
      </c>
      <c r="AC97">
        <v>16604</v>
      </c>
      <c r="AD97">
        <v>0.51</v>
      </c>
      <c r="AE97" s="1">
        <v>0.49223352972683398</v>
      </c>
    </row>
    <row r="98" spans="1:31" x14ac:dyDescent="0.25">
      <c r="A98">
        <v>12073</v>
      </c>
      <c r="B98">
        <v>2453</v>
      </c>
      <c r="C98">
        <v>1642</v>
      </c>
      <c r="D98">
        <v>10</v>
      </c>
      <c r="E98">
        <v>1087</v>
      </c>
      <c r="F98">
        <v>12109</v>
      </c>
      <c r="G98">
        <v>12.93</v>
      </c>
      <c r="H98">
        <v>10.89</v>
      </c>
      <c r="I98">
        <v>5.0999999999999996</v>
      </c>
      <c r="J98">
        <v>0.02</v>
      </c>
      <c r="K98">
        <v>2.25</v>
      </c>
      <c r="L98">
        <v>25.08</v>
      </c>
      <c r="M98">
        <v>7.62</v>
      </c>
      <c r="N98">
        <v>16.329999999999998</v>
      </c>
      <c r="O98">
        <v>15.57</v>
      </c>
      <c r="P98">
        <v>8.07</v>
      </c>
      <c r="Q98">
        <v>24.85</v>
      </c>
      <c r="R98">
        <v>33.44</v>
      </c>
      <c r="S98">
        <v>24.28</v>
      </c>
      <c r="T98">
        <v>2080</v>
      </c>
      <c r="U98">
        <v>1904</v>
      </c>
      <c r="V98">
        <v>1170</v>
      </c>
      <c r="W98">
        <v>696</v>
      </c>
      <c r="X98">
        <v>7959</v>
      </c>
      <c r="Y98">
        <v>927</v>
      </c>
      <c r="Z98">
        <v>5236</v>
      </c>
      <c r="AA98">
        <v>2949</v>
      </c>
      <c r="AB98">
        <v>14.064</v>
      </c>
      <c r="AC98">
        <v>17071</v>
      </c>
      <c r="AD98">
        <v>0.54</v>
      </c>
      <c r="AE98" s="1">
        <v>0.49506465682148598</v>
      </c>
    </row>
    <row r="99" spans="1:31" x14ac:dyDescent="0.25">
      <c r="A99">
        <v>12081</v>
      </c>
      <c r="B99">
        <v>2477</v>
      </c>
      <c r="C99">
        <v>1637</v>
      </c>
      <c r="D99">
        <v>16</v>
      </c>
      <c r="E99">
        <v>1107</v>
      </c>
      <c r="F99">
        <v>12069</v>
      </c>
      <c r="G99">
        <v>12.94</v>
      </c>
      <c r="H99">
        <v>11</v>
      </c>
      <c r="I99">
        <v>5.09</v>
      </c>
      <c r="J99">
        <v>0.03</v>
      </c>
      <c r="K99">
        <v>2.29</v>
      </c>
      <c r="L99">
        <v>25</v>
      </c>
      <c r="M99">
        <v>7.7</v>
      </c>
      <c r="N99">
        <v>16.28</v>
      </c>
      <c r="O99">
        <v>15.47</v>
      </c>
      <c r="P99">
        <v>8.1</v>
      </c>
      <c r="Q99">
        <v>24.86</v>
      </c>
      <c r="R99">
        <v>33.33</v>
      </c>
      <c r="S99">
        <v>24.54</v>
      </c>
      <c r="T99">
        <v>2083</v>
      </c>
      <c r="U99">
        <v>1904</v>
      </c>
      <c r="V99">
        <v>1166</v>
      </c>
      <c r="W99">
        <v>687</v>
      </c>
      <c r="X99">
        <v>7972</v>
      </c>
      <c r="Y99">
        <v>929</v>
      </c>
      <c r="Z99">
        <v>5235</v>
      </c>
      <c r="AA99">
        <v>2958</v>
      </c>
      <c r="AB99">
        <v>14.077</v>
      </c>
      <c r="AC99">
        <v>17094</v>
      </c>
      <c r="AD99">
        <v>0.53</v>
      </c>
      <c r="AE99" s="1">
        <v>0.496365444946055</v>
      </c>
    </row>
    <row r="100" spans="1:31" x14ac:dyDescent="0.25">
      <c r="A100">
        <v>14788</v>
      </c>
      <c r="B100">
        <v>2682</v>
      </c>
      <c r="C100">
        <v>1600</v>
      </c>
      <c r="D100">
        <v>0</v>
      </c>
      <c r="E100">
        <v>974</v>
      </c>
      <c r="F100">
        <v>12090</v>
      </c>
      <c r="G100">
        <v>15.84</v>
      </c>
      <c r="H100">
        <v>11.91</v>
      </c>
      <c r="I100">
        <v>4.97</v>
      </c>
      <c r="J100">
        <v>0</v>
      </c>
      <c r="K100">
        <v>2.02</v>
      </c>
      <c r="L100">
        <v>25.04</v>
      </c>
      <c r="M100">
        <v>8.33</v>
      </c>
      <c r="N100">
        <v>15.91</v>
      </c>
      <c r="O100">
        <v>14.2</v>
      </c>
      <c r="P100">
        <v>10.76</v>
      </c>
      <c r="Q100">
        <v>24.82</v>
      </c>
      <c r="R100">
        <v>33.39</v>
      </c>
      <c r="S100">
        <v>26.05</v>
      </c>
      <c r="T100">
        <v>2077</v>
      </c>
      <c r="U100">
        <v>1904</v>
      </c>
      <c r="V100">
        <v>1168</v>
      </c>
      <c r="W100">
        <v>460</v>
      </c>
      <c r="X100">
        <v>7871</v>
      </c>
      <c r="Y100">
        <v>1005</v>
      </c>
      <c r="Z100">
        <v>5222</v>
      </c>
      <c r="AA100">
        <v>3422</v>
      </c>
      <c r="AB100">
        <v>13.02</v>
      </c>
      <c r="AC100">
        <v>17520</v>
      </c>
      <c r="AD100">
        <v>0.56999999999999995</v>
      </c>
      <c r="AE100" s="1">
        <v>0.49789578391613698</v>
      </c>
    </row>
    <row r="101" spans="1:31" x14ac:dyDescent="0.25">
      <c r="A101">
        <v>12679</v>
      </c>
      <c r="B101">
        <v>2799</v>
      </c>
      <c r="C101">
        <v>1642</v>
      </c>
      <c r="D101">
        <v>8</v>
      </c>
      <c r="E101">
        <v>500</v>
      </c>
      <c r="F101">
        <v>12177</v>
      </c>
      <c r="G101">
        <v>13.58</v>
      </c>
      <c r="H101">
        <v>12.42</v>
      </c>
      <c r="I101">
        <v>5.0999999999999996</v>
      </c>
      <c r="J101">
        <v>0.02</v>
      </c>
      <c r="K101">
        <v>1.04</v>
      </c>
      <c r="L101">
        <v>25.22</v>
      </c>
      <c r="M101">
        <v>8.6999999999999993</v>
      </c>
      <c r="N101">
        <v>16.329999999999998</v>
      </c>
      <c r="O101">
        <v>14.24</v>
      </c>
      <c r="P101">
        <v>8.92</v>
      </c>
      <c r="Q101">
        <v>24.84</v>
      </c>
      <c r="R101">
        <v>33.630000000000003</v>
      </c>
      <c r="S101">
        <v>26</v>
      </c>
      <c r="T101">
        <v>2080</v>
      </c>
      <c r="U101">
        <v>1904</v>
      </c>
      <c r="V101">
        <v>1177</v>
      </c>
      <c r="W101">
        <v>563</v>
      </c>
      <c r="X101">
        <v>7980</v>
      </c>
      <c r="Y101">
        <v>971</v>
      </c>
      <c r="Z101">
        <v>5236</v>
      </c>
      <c r="AA101">
        <v>3137</v>
      </c>
      <c r="AB101">
        <v>13.661</v>
      </c>
      <c r="AC101">
        <v>17324</v>
      </c>
      <c r="AD101">
        <v>0.52</v>
      </c>
      <c r="AE101" s="1">
        <v>0.497972300864641</v>
      </c>
    </row>
    <row r="102" spans="1:31" x14ac:dyDescent="0.25">
      <c r="A102">
        <v>13178</v>
      </c>
      <c r="B102">
        <v>2874</v>
      </c>
      <c r="C102">
        <v>1647</v>
      </c>
      <c r="D102">
        <v>11</v>
      </c>
      <c r="E102">
        <v>353</v>
      </c>
      <c r="F102">
        <v>12183</v>
      </c>
      <c r="G102">
        <v>14.12</v>
      </c>
      <c r="H102">
        <v>12.76</v>
      </c>
      <c r="I102">
        <v>5.12</v>
      </c>
      <c r="J102">
        <v>0.02</v>
      </c>
      <c r="K102">
        <v>0.73</v>
      </c>
      <c r="L102">
        <v>25.24</v>
      </c>
      <c r="M102">
        <v>8.93</v>
      </c>
      <c r="N102">
        <v>16.38</v>
      </c>
      <c r="O102">
        <v>13.91</v>
      </c>
      <c r="P102">
        <v>9.4499999999999993</v>
      </c>
      <c r="Q102">
        <v>24.85</v>
      </c>
      <c r="R102">
        <v>33.65</v>
      </c>
      <c r="S102">
        <v>26.33</v>
      </c>
      <c r="T102">
        <v>2081</v>
      </c>
      <c r="U102">
        <v>1904</v>
      </c>
      <c r="V102">
        <v>1177</v>
      </c>
      <c r="W102">
        <v>513</v>
      </c>
      <c r="X102">
        <v>7960</v>
      </c>
      <c r="Y102">
        <v>988</v>
      </c>
      <c r="Z102">
        <v>5238</v>
      </c>
      <c r="AA102">
        <v>3233</v>
      </c>
      <c r="AB102">
        <v>13.436</v>
      </c>
      <c r="AC102">
        <v>17419</v>
      </c>
      <c r="AD102">
        <v>0.53</v>
      </c>
      <c r="AE102" s="1">
        <v>0.49804881781314497</v>
      </c>
    </row>
    <row r="103" spans="1:31" x14ac:dyDescent="0.25">
      <c r="A103">
        <v>5570</v>
      </c>
      <c r="B103">
        <v>2113</v>
      </c>
      <c r="C103">
        <v>1860</v>
      </c>
      <c r="D103">
        <v>1</v>
      </c>
      <c r="E103">
        <v>1009</v>
      </c>
      <c r="F103">
        <v>11661</v>
      </c>
      <c r="G103">
        <v>5.97</v>
      </c>
      <c r="H103">
        <v>9.3800000000000008</v>
      </c>
      <c r="I103">
        <v>5.78</v>
      </c>
      <c r="J103">
        <v>0</v>
      </c>
      <c r="K103">
        <v>2.09</v>
      </c>
      <c r="L103">
        <v>24.15</v>
      </c>
      <c r="M103">
        <v>6.57</v>
      </c>
      <c r="N103">
        <v>18.489999999999998</v>
      </c>
      <c r="O103">
        <v>19.28</v>
      </c>
      <c r="P103">
        <v>2.63</v>
      </c>
      <c r="Q103">
        <v>24.82</v>
      </c>
      <c r="R103">
        <v>32.21</v>
      </c>
      <c r="S103">
        <v>21.08</v>
      </c>
      <c r="T103">
        <v>2077</v>
      </c>
      <c r="U103">
        <v>1904</v>
      </c>
      <c r="V103">
        <v>1127</v>
      </c>
      <c r="W103">
        <v>1224</v>
      </c>
      <c r="X103">
        <v>8166</v>
      </c>
      <c r="Y103">
        <v>753</v>
      </c>
      <c r="Z103">
        <v>5308</v>
      </c>
      <c r="AA103">
        <v>1873</v>
      </c>
      <c r="AB103">
        <v>16.564</v>
      </c>
      <c r="AC103">
        <v>16100</v>
      </c>
      <c r="AD103">
        <v>0.5</v>
      </c>
      <c r="AE103" s="1">
        <v>0.49873747034968202</v>
      </c>
    </row>
    <row r="104" spans="1:31" x14ac:dyDescent="0.25">
      <c r="A104">
        <v>6110</v>
      </c>
      <c r="B104">
        <v>1622</v>
      </c>
      <c r="C104">
        <v>1655</v>
      </c>
      <c r="D104">
        <v>8</v>
      </c>
      <c r="E104">
        <v>2416</v>
      </c>
      <c r="F104">
        <v>11963</v>
      </c>
      <c r="G104">
        <v>6.55</v>
      </c>
      <c r="H104">
        <v>7.2</v>
      </c>
      <c r="I104">
        <v>5.14</v>
      </c>
      <c r="J104">
        <v>0.02</v>
      </c>
      <c r="K104">
        <v>5</v>
      </c>
      <c r="L104">
        <v>24.78</v>
      </c>
      <c r="M104">
        <v>5.04</v>
      </c>
      <c r="N104">
        <v>16.46</v>
      </c>
      <c r="O104">
        <v>20.399999999999999</v>
      </c>
      <c r="P104">
        <v>2.79</v>
      </c>
      <c r="Q104">
        <v>24.84</v>
      </c>
      <c r="R104">
        <v>33.04</v>
      </c>
      <c r="S104">
        <v>19.96</v>
      </c>
      <c r="T104">
        <v>2080</v>
      </c>
      <c r="U104">
        <v>1904</v>
      </c>
      <c r="V104">
        <v>1156</v>
      </c>
      <c r="W104">
        <v>1289</v>
      </c>
      <c r="X104">
        <v>8166</v>
      </c>
      <c r="Y104">
        <v>729</v>
      </c>
      <c r="Z104">
        <v>5240</v>
      </c>
      <c r="AA104">
        <v>1819</v>
      </c>
      <c r="AB104">
        <v>16.672999999999998</v>
      </c>
      <c r="AC104">
        <v>15954</v>
      </c>
      <c r="AD104">
        <v>0.53</v>
      </c>
      <c r="AE104" s="1">
        <v>0.49889050424669001</v>
      </c>
    </row>
    <row r="105" spans="1:31" x14ac:dyDescent="0.25">
      <c r="A105">
        <v>12848</v>
      </c>
      <c r="B105">
        <v>2886</v>
      </c>
      <c r="C105">
        <v>1642</v>
      </c>
      <c r="D105">
        <v>4</v>
      </c>
      <c r="E105">
        <v>467</v>
      </c>
      <c r="F105">
        <v>12088</v>
      </c>
      <c r="G105">
        <v>13.76</v>
      </c>
      <c r="H105">
        <v>12.81</v>
      </c>
      <c r="I105">
        <v>5.0999999999999996</v>
      </c>
      <c r="J105">
        <v>0.01</v>
      </c>
      <c r="K105">
        <v>0.97</v>
      </c>
      <c r="L105">
        <v>25.04</v>
      </c>
      <c r="M105">
        <v>8.9700000000000006</v>
      </c>
      <c r="N105">
        <v>16.32</v>
      </c>
      <c r="O105">
        <v>13.91</v>
      </c>
      <c r="P105">
        <v>9.16</v>
      </c>
      <c r="Q105">
        <v>24.83</v>
      </c>
      <c r="R105">
        <v>33.380000000000003</v>
      </c>
      <c r="S105">
        <v>26.69</v>
      </c>
      <c r="T105">
        <v>2078</v>
      </c>
      <c r="U105">
        <v>1904</v>
      </c>
      <c r="V105">
        <v>1168</v>
      </c>
      <c r="W105">
        <v>529</v>
      </c>
      <c r="X105">
        <v>7995</v>
      </c>
      <c r="Y105">
        <v>983</v>
      </c>
      <c r="Z105">
        <v>5236</v>
      </c>
      <c r="AA105">
        <v>3187</v>
      </c>
      <c r="AB105">
        <v>13.603</v>
      </c>
      <c r="AC105">
        <v>17401</v>
      </c>
      <c r="AD105">
        <v>0.52</v>
      </c>
      <c r="AE105" s="1">
        <v>0.50065039406228395</v>
      </c>
    </row>
    <row r="106" spans="1:31" x14ac:dyDescent="0.25">
      <c r="A106">
        <v>14164</v>
      </c>
      <c r="B106">
        <v>2954</v>
      </c>
      <c r="C106">
        <v>1611</v>
      </c>
      <c r="D106">
        <v>3</v>
      </c>
      <c r="E106">
        <v>508</v>
      </c>
      <c r="F106">
        <v>12091</v>
      </c>
      <c r="G106">
        <v>15.17</v>
      </c>
      <c r="H106">
        <v>13.11</v>
      </c>
      <c r="I106">
        <v>5.01</v>
      </c>
      <c r="J106">
        <v>0.01</v>
      </c>
      <c r="K106">
        <v>1.05</v>
      </c>
      <c r="L106">
        <v>25.04</v>
      </c>
      <c r="M106">
        <v>9.18</v>
      </c>
      <c r="N106">
        <v>16.02</v>
      </c>
      <c r="O106">
        <v>13.4</v>
      </c>
      <c r="P106">
        <v>10.46</v>
      </c>
      <c r="Q106">
        <v>24.83</v>
      </c>
      <c r="R106">
        <v>33.39</v>
      </c>
      <c r="S106">
        <v>27.39</v>
      </c>
      <c r="T106">
        <v>2078</v>
      </c>
      <c r="U106">
        <v>1904</v>
      </c>
      <c r="V106">
        <v>1168</v>
      </c>
      <c r="W106">
        <v>425</v>
      </c>
      <c r="X106">
        <v>7951</v>
      </c>
      <c r="Y106">
        <v>1017</v>
      </c>
      <c r="Z106">
        <v>5225</v>
      </c>
      <c r="AA106">
        <v>3404</v>
      </c>
      <c r="AB106">
        <v>13.122</v>
      </c>
      <c r="AC106">
        <v>17597</v>
      </c>
      <c r="AD106">
        <v>0.54</v>
      </c>
      <c r="AE106" s="1">
        <v>0.50210421608386202</v>
      </c>
    </row>
    <row r="107" spans="1:31" x14ac:dyDescent="0.25">
      <c r="A107">
        <v>14164</v>
      </c>
      <c r="B107">
        <v>2838</v>
      </c>
      <c r="C107">
        <v>1611</v>
      </c>
      <c r="D107">
        <v>10</v>
      </c>
      <c r="E107">
        <v>811</v>
      </c>
      <c r="F107">
        <v>11955</v>
      </c>
      <c r="G107">
        <v>15.17</v>
      </c>
      <c r="H107">
        <v>12.6</v>
      </c>
      <c r="I107">
        <v>5.01</v>
      </c>
      <c r="J107">
        <v>0.02</v>
      </c>
      <c r="K107">
        <v>1.68</v>
      </c>
      <c r="L107">
        <v>24.76</v>
      </c>
      <c r="M107">
        <v>8.82</v>
      </c>
      <c r="N107">
        <v>16.02</v>
      </c>
      <c r="O107">
        <v>13.79</v>
      </c>
      <c r="P107">
        <v>10.33</v>
      </c>
      <c r="Q107">
        <v>24.84</v>
      </c>
      <c r="R107">
        <v>33.020000000000003</v>
      </c>
      <c r="S107">
        <v>27.06</v>
      </c>
      <c r="T107">
        <v>2080</v>
      </c>
      <c r="U107">
        <v>1904</v>
      </c>
      <c r="V107">
        <v>1155</v>
      </c>
      <c r="W107">
        <v>457</v>
      </c>
      <c r="X107">
        <v>7944</v>
      </c>
      <c r="Y107">
        <v>1006</v>
      </c>
      <c r="Z107">
        <v>5226</v>
      </c>
      <c r="AA107">
        <v>3372</v>
      </c>
      <c r="AB107">
        <v>13.236000000000001</v>
      </c>
      <c r="AC107">
        <v>17548</v>
      </c>
      <c r="AD107">
        <v>0.55000000000000004</v>
      </c>
      <c r="AE107" s="1">
        <v>0.50263983472339102</v>
      </c>
    </row>
    <row r="108" spans="1:31" x14ac:dyDescent="0.25">
      <c r="A108">
        <v>14737</v>
      </c>
      <c r="B108">
        <v>3006</v>
      </c>
      <c r="C108">
        <v>1519</v>
      </c>
      <c r="D108">
        <v>1</v>
      </c>
      <c r="E108">
        <v>868</v>
      </c>
      <c r="F108">
        <v>12100</v>
      </c>
      <c r="G108">
        <v>15.79</v>
      </c>
      <c r="H108">
        <v>13.34</v>
      </c>
      <c r="I108">
        <v>4.72</v>
      </c>
      <c r="J108">
        <v>0</v>
      </c>
      <c r="K108">
        <v>1.8</v>
      </c>
      <c r="L108">
        <v>25.06</v>
      </c>
      <c r="M108">
        <v>9.34</v>
      </c>
      <c r="N108">
        <v>15.1</v>
      </c>
      <c r="O108">
        <v>12.93</v>
      </c>
      <c r="P108">
        <v>11.12</v>
      </c>
      <c r="Q108">
        <v>24.82</v>
      </c>
      <c r="R108">
        <v>33.42</v>
      </c>
      <c r="S108">
        <v>28.68</v>
      </c>
      <c r="T108">
        <v>2077</v>
      </c>
      <c r="U108">
        <v>1904</v>
      </c>
      <c r="V108">
        <v>1169</v>
      </c>
      <c r="W108">
        <v>357</v>
      </c>
      <c r="X108">
        <v>7995</v>
      </c>
      <c r="Y108">
        <v>1038</v>
      </c>
      <c r="Z108">
        <v>5196</v>
      </c>
      <c r="AA108">
        <v>3506</v>
      </c>
      <c r="AB108">
        <v>12.993</v>
      </c>
      <c r="AC108">
        <v>17735</v>
      </c>
      <c r="AD108">
        <v>0.54</v>
      </c>
      <c r="AE108" s="1">
        <v>0.50830208891269402</v>
      </c>
    </row>
    <row r="109" spans="1:31" x14ac:dyDescent="0.25">
      <c r="A109">
        <v>7528</v>
      </c>
      <c r="B109">
        <v>2682</v>
      </c>
      <c r="C109">
        <v>1600</v>
      </c>
      <c r="D109">
        <v>0</v>
      </c>
      <c r="E109">
        <v>974</v>
      </c>
      <c r="F109">
        <v>12090</v>
      </c>
      <c r="G109">
        <v>8.06</v>
      </c>
      <c r="H109">
        <v>11.9</v>
      </c>
      <c r="I109">
        <v>4.97</v>
      </c>
      <c r="J109">
        <v>0</v>
      </c>
      <c r="K109">
        <v>2.02</v>
      </c>
      <c r="L109">
        <v>25.04</v>
      </c>
      <c r="M109">
        <v>8.33</v>
      </c>
      <c r="N109">
        <v>15.91</v>
      </c>
      <c r="O109">
        <v>15.74</v>
      </c>
      <c r="P109">
        <v>4.51</v>
      </c>
      <c r="Q109">
        <v>24.82</v>
      </c>
      <c r="R109">
        <v>33.39</v>
      </c>
      <c r="S109">
        <v>26.05</v>
      </c>
      <c r="T109">
        <v>2077</v>
      </c>
      <c r="U109">
        <v>1904</v>
      </c>
      <c r="V109">
        <v>1168</v>
      </c>
      <c r="W109">
        <v>898</v>
      </c>
      <c r="X109">
        <v>8308</v>
      </c>
      <c r="Y109">
        <v>859</v>
      </c>
      <c r="Z109">
        <v>5222</v>
      </c>
      <c r="AA109">
        <v>2331</v>
      </c>
      <c r="AB109">
        <v>15.704000000000001</v>
      </c>
      <c r="AC109">
        <v>16720</v>
      </c>
      <c r="AD109">
        <v>0.46</v>
      </c>
      <c r="AE109" s="1">
        <v>0.509679393985767</v>
      </c>
    </row>
    <row r="110" spans="1:31" x14ac:dyDescent="0.25">
      <c r="A110">
        <v>9562</v>
      </c>
      <c r="B110">
        <v>2648</v>
      </c>
      <c r="C110">
        <v>1580</v>
      </c>
      <c r="D110">
        <v>8</v>
      </c>
      <c r="E110">
        <v>1334</v>
      </c>
      <c r="F110">
        <v>11869</v>
      </c>
      <c r="G110">
        <v>10.24</v>
      </c>
      <c r="H110">
        <v>11.75</v>
      </c>
      <c r="I110">
        <v>4.91</v>
      </c>
      <c r="J110">
        <v>0.02</v>
      </c>
      <c r="K110">
        <v>2.76</v>
      </c>
      <c r="L110">
        <v>24.59</v>
      </c>
      <c r="M110">
        <v>8.23</v>
      </c>
      <c r="N110">
        <v>15.71</v>
      </c>
      <c r="O110">
        <v>15.26</v>
      </c>
      <c r="P110">
        <v>6.13</v>
      </c>
      <c r="Q110">
        <v>24.84</v>
      </c>
      <c r="R110">
        <v>32.78</v>
      </c>
      <c r="S110">
        <v>26.57</v>
      </c>
      <c r="T110">
        <v>2080</v>
      </c>
      <c r="U110">
        <v>1904</v>
      </c>
      <c r="V110">
        <v>1147</v>
      </c>
      <c r="W110">
        <v>781</v>
      </c>
      <c r="X110">
        <v>8218</v>
      </c>
      <c r="Y110">
        <v>898</v>
      </c>
      <c r="Z110">
        <v>5215</v>
      </c>
      <c r="AA110">
        <v>2627</v>
      </c>
      <c r="AB110">
        <v>15.095000000000001</v>
      </c>
      <c r="AC110">
        <v>16958</v>
      </c>
      <c r="AD110">
        <v>0.48</v>
      </c>
      <c r="AE110" s="1">
        <v>0.51013849567679204</v>
      </c>
    </row>
    <row r="111" spans="1:31" x14ac:dyDescent="0.25">
      <c r="A111">
        <v>7185</v>
      </c>
      <c r="B111">
        <v>2682</v>
      </c>
      <c r="C111">
        <v>1600</v>
      </c>
      <c r="D111">
        <v>0</v>
      </c>
      <c r="E111">
        <v>974</v>
      </c>
      <c r="F111">
        <v>12090</v>
      </c>
      <c r="G111">
        <v>7.7</v>
      </c>
      <c r="H111">
        <v>11.9</v>
      </c>
      <c r="I111">
        <v>4.97</v>
      </c>
      <c r="J111">
        <v>0</v>
      </c>
      <c r="K111">
        <v>2.02</v>
      </c>
      <c r="L111">
        <v>25.04</v>
      </c>
      <c r="M111">
        <v>8.33</v>
      </c>
      <c r="N111">
        <v>15.91</v>
      </c>
      <c r="O111">
        <v>15.84</v>
      </c>
      <c r="P111">
        <v>4.25</v>
      </c>
      <c r="Q111">
        <v>24.82</v>
      </c>
      <c r="R111">
        <v>33.39</v>
      </c>
      <c r="S111">
        <v>26.05</v>
      </c>
      <c r="T111">
        <v>2077</v>
      </c>
      <c r="U111">
        <v>1904</v>
      </c>
      <c r="V111">
        <v>1168</v>
      </c>
      <c r="W111">
        <v>918</v>
      </c>
      <c r="X111">
        <v>8329</v>
      </c>
      <c r="Y111">
        <v>853</v>
      </c>
      <c r="Z111">
        <v>5222</v>
      </c>
      <c r="AA111">
        <v>2279</v>
      </c>
      <c r="AB111">
        <v>15.831</v>
      </c>
      <c r="AC111">
        <v>16683</v>
      </c>
      <c r="AD111">
        <v>0.45</v>
      </c>
      <c r="AE111" s="1">
        <v>0.51044456347080802</v>
      </c>
    </row>
    <row r="112" spans="1:31" x14ac:dyDescent="0.25">
      <c r="A112">
        <v>10872</v>
      </c>
      <c r="B112">
        <v>3149</v>
      </c>
      <c r="C112">
        <v>1529</v>
      </c>
      <c r="D112">
        <v>1</v>
      </c>
      <c r="E112">
        <v>495</v>
      </c>
      <c r="F112">
        <v>12210</v>
      </c>
      <c r="G112">
        <v>11.65</v>
      </c>
      <c r="H112">
        <v>13.98</v>
      </c>
      <c r="I112">
        <v>4.75</v>
      </c>
      <c r="J112">
        <v>0</v>
      </c>
      <c r="K112">
        <v>1.02</v>
      </c>
      <c r="L112">
        <v>25.29</v>
      </c>
      <c r="M112">
        <v>9.7799999999999994</v>
      </c>
      <c r="N112">
        <v>15.2</v>
      </c>
      <c r="O112">
        <v>13.13</v>
      </c>
      <c r="P112">
        <v>7.78</v>
      </c>
      <c r="Q112">
        <v>24.82</v>
      </c>
      <c r="R112">
        <v>33.72</v>
      </c>
      <c r="S112">
        <v>29.09</v>
      </c>
      <c r="T112">
        <v>2077</v>
      </c>
      <c r="U112">
        <v>1904</v>
      </c>
      <c r="V112">
        <v>1180</v>
      </c>
      <c r="W112">
        <v>552</v>
      </c>
      <c r="X112">
        <v>8236</v>
      </c>
      <c r="Y112">
        <v>974</v>
      </c>
      <c r="Z112">
        <v>5200</v>
      </c>
      <c r="AA112">
        <v>2966</v>
      </c>
      <c r="AB112">
        <v>14.297000000000001</v>
      </c>
      <c r="AC112">
        <v>17376</v>
      </c>
      <c r="AD112">
        <v>0.47</v>
      </c>
      <c r="AE112" s="1">
        <v>0.51296962277144298</v>
      </c>
    </row>
    <row r="113" spans="1:31" x14ac:dyDescent="0.25">
      <c r="A113">
        <v>9971</v>
      </c>
      <c r="B113">
        <v>3059</v>
      </c>
      <c r="C113">
        <v>1561</v>
      </c>
      <c r="D113">
        <v>12</v>
      </c>
      <c r="E113">
        <v>695</v>
      </c>
      <c r="F113">
        <v>11980</v>
      </c>
      <c r="G113">
        <v>10.68</v>
      </c>
      <c r="H113">
        <v>13.58</v>
      </c>
      <c r="I113">
        <v>4.8499999999999996</v>
      </c>
      <c r="J113">
        <v>0.02</v>
      </c>
      <c r="K113">
        <v>1.44</v>
      </c>
      <c r="L113">
        <v>24.82</v>
      </c>
      <c r="M113">
        <v>9.5</v>
      </c>
      <c r="N113">
        <v>15.52</v>
      </c>
      <c r="O113">
        <v>13.69</v>
      </c>
      <c r="P113">
        <v>6.88</v>
      </c>
      <c r="Q113">
        <v>24.85</v>
      </c>
      <c r="R113">
        <v>33.090000000000003</v>
      </c>
      <c r="S113">
        <v>28.75</v>
      </c>
      <c r="T113">
        <v>2081</v>
      </c>
      <c r="U113">
        <v>1904</v>
      </c>
      <c r="V113">
        <v>1158</v>
      </c>
      <c r="W113">
        <v>638</v>
      </c>
      <c r="X113">
        <v>8274</v>
      </c>
      <c r="Y113">
        <v>946</v>
      </c>
      <c r="Z113">
        <v>5209</v>
      </c>
      <c r="AA113">
        <v>2805</v>
      </c>
      <c r="AB113">
        <v>14.741</v>
      </c>
      <c r="AC113">
        <v>17234</v>
      </c>
      <c r="AD113">
        <v>0.47</v>
      </c>
      <c r="AE113" s="1">
        <v>0.51488254648404597</v>
      </c>
    </row>
    <row r="114" spans="1:31" x14ac:dyDescent="0.25">
      <c r="A114">
        <v>14735</v>
      </c>
      <c r="B114">
        <v>3335</v>
      </c>
      <c r="C114">
        <v>1476</v>
      </c>
      <c r="D114">
        <v>4</v>
      </c>
      <c r="E114">
        <v>489</v>
      </c>
      <c r="F114">
        <v>12188</v>
      </c>
      <c r="G114">
        <v>15.79</v>
      </c>
      <c r="H114">
        <v>14.8</v>
      </c>
      <c r="I114">
        <v>4.58</v>
      </c>
      <c r="J114">
        <v>0.01</v>
      </c>
      <c r="K114">
        <v>1.01</v>
      </c>
      <c r="L114">
        <v>25.25</v>
      </c>
      <c r="M114">
        <v>10.36</v>
      </c>
      <c r="N114">
        <v>14.67</v>
      </c>
      <c r="O114">
        <v>11.81</v>
      </c>
      <c r="P114">
        <v>11.6</v>
      </c>
      <c r="Q114">
        <v>24.83</v>
      </c>
      <c r="R114">
        <v>33.659999999999997</v>
      </c>
      <c r="S114">
        <v>30.73</v>
      </c>
      <c r="T114">
        <v>2078</v>
      </c>
      <c r="U114">
        <v>1904</v>
      </c>
      <c r="V114">
        <v>1178</v>
      </c>
      <c r="W114">
        <v>258</v>
      </c>
      <c r="X114">
        <v>8081</v>
      </c>
      <c r="Y114">
        <v>1071</v>
      </c>
      <c r="Z114">
        <v>5181</v>
      </c>
      <c r="AA114">
        <v>3600</v>
      </c>
      <c r="AB114">
        <v>12.864000000000001</v>
      </c>
      <c r="AC114">
        <v>17933</v>
      </c>
      <c r="AD114">
        <v>0.53</v>
      </c>
      <c r="AE114" s="1">
        <v>0.51549468207207905</v>
      </c>
    </row>
    <row r="115" spans="1:31" x14ac:dyDescent="0.25">
      <c r="A115">
        <v>14198</v>
      </c>
      <c r="B115">
        <v>3335</v>
      </c>
      <c r="C115">
        <v>1476</v>
      </c>
      <c r="D115">
        <v>1</v>
      </c>
      <c r="E115">
        <v>492</v>
      </c>
      <c r="F115">
        <v>12188</v>
      </c>
      <c r="G115">
        <v>15.21</v>
      </c>
      <c r="H115">
        <v>14.8</v>
      </c>
      <c r="I115">
        <v>4.58</v>
      </c>
      <c r="J115">
        <v>0</v>
      </c>
      <c r="K115">
        <v>1.02</v>
      </c>
      <c r="L115">
        <v>25.25</v>
      </c>
      <c r="M115">
        <v>10.36</v>
      </c>
      <c r="N115">
        <v>14.67</v>
      </c>
      <c r="O115">
        <v>11.89</v>
      </c>
      <c r="P115">
        <v>11.09</v>
      </c>
      <c r="Q115">
        <v>24.82</v>
      </c>
      <c r="R115">
        <v>33.659999999999997</v>
      </c>
      <c r="S115">
        <v>30.73</v>
      </c>
      <c r="T115">
        <v>2077</v>
      </c>
      <c r="U115">
        <v>1904</v>
      </c>
      <c r="V115">
        <v>1178</v>
      </c>
      <c r="W115">
        <v>290</v>
      </c>
      <c r="X115">
        <v>8113</v>
      </c>
      <c r="Y115">
        <v>1060</v>
      </c>
      <c r="Z115">
        <v>5182</v>
      </c>
      <c r="AA115">
        <v>3519</v>
      </c>
      <c r="AB115">
        <v>13.061999999999999</v>
      </c>
      <c r="AC115">
        <v>17874</v>
      </c>
      <c r="AD115">
        <v>0.52</v>
      </c>
      <c r="AE115" s="1">
        <v>0.51603030071160705</v>
      </c>
    </row>
    <row r="116" spans="1:31" x14ac:dyDescent="0.25">
      <c r="A116">
        <v>13003</v>
      </c>
      <c r="B116">
        <v>3347</v>
      </c>
      <c r="C116">
        <v>1502</v>
      </c>
      <c r="D116">
        <v>11</v>
      </c>
      <c r="E116">
        <v>352</v>
      </c>
      <c r="F116">
        <v>12172</v>
      </c>
      <c r="G116">
        <v>13.93</v>
      </c>
      <c r="H116">
        <v>14.85</v>
      </c>
      <c r="I116">
        <v>4.67</v>
      </c>
      <c r="J116">
        <v>0.02</v>
      </c>
      <c r="K116">
        <v>0.73</v>
      </c>
      <c r="L116">
        <v>25.21</v>
      </c>
      <c r="M116">
        <v>10.4</v>
      </c>
      <c r="N116">
        <v>14.94</v>
      </c>
      <c r="O116">
        <v>12.09</v>
      </c>
      <c r="P116">
        <v>9.98</v>
      </c>
      <c r="Q116">
        <v>24.85</v>
      </c>
      <c r="R116">
        <v>33.619999999999997</v>
      </c>
      <c r="S116">
        <v>30.52</v>
      </c>
      <c r="T116">
        <v>2081</v>
      </c>
      <c r="U116">
        <v>1904</v>
      </c>
      <c r="V116">
        <v>1176</v>
      </c>
      <c r="W116">
        <v>364</v>
      </c>
      <c r="X116">
        <v>8171</v>
      </c>
      <c r="Y116">
        <v>1036</v>
      </c>
      <c r="Z116">
        <v>5190</v>
      </c>
      <c r="AA116">
        <v>3342</v>
      </c>
      <c r="AB116">
        <v>13.477</v>
      </c>
      <c r="AC116">
        <v>17739</v>
      </c>
      <c r="AD116">
        <v>0.5</v>
      </c>
      <c r="AE116" s="1">
        <v>0.51618333460861499</v>
      </c>
    </row>
    <row r="117" spans="1:31" x14ac:dyDescent="0.25">
      <c r="A117">
        <v>6158</v>
      </c>
      <c r="B117">
        <v>3180</v>
      </c>
      <c r="C117">
        <v>1613</v>
      </c>
      <c r="D117">
        <v>1</v>
      </c>
      <c r="E117">
        <v>144</v>
      </c>
      <c r="F117">
        <v>12112</v>
      </c>
      <c r="G117">
        <v>6.6</v>
      </c>
      <c r="H117">
        <v>14.11</v>
      </c>
      <c r="I117">
        <v>5.01</v>
      </c>
      <c r="J117">
        <v>0</v>
      </c>
      <c r="K117">
        <v>0.3</v>
      </c>
      <c r="L117">
        <v>25.09</v>
      </c>
      <c r="M117">
        <v>9.8800000000000008</v>
      </c>
      <c r="N117">
        <v>16.03</v>
      </c>
      <c r="O117">
        <v>14.47</v>
      </c>
      <c r="P117">
        <v>3.95</v>
      </c>
      <c r="Q117">
        <v>24.82</v>
      </c>
      <c r="R117">
        <v>33.450000000000003</v>
      </c>
      <c r="S117">
        <v>28.56</v>
      </c>
      <c r="T117">
        <v>2077</v>
      </c>
      <c r="U117">
        <v>1904</v>
      </c>
      <c r="V117">
        <v>1170</v>
      </c>
      <c r="W117">
        <v>844</v>
      </c>
      <c r="X117">
        <v>8473</v>
      </c>
      <c r="Y117">
        <v>878</v>
      </c>
      <c r="Z117">
        <v>5226</v>
      </c>
      <c r="AA117">
        <v>2265</v>
      </c>
      <c r="AB117">
        <v>15.974</v>
      </c>
      <c r="AC117">
        <v>16842</v>
      </c>
      <c r="AD117">
        <v>0.42</v>
      </c>
      <c r="AE117" s="1">
        <v>0.51916749560027498</v>
      </c>
    </row>
    <row r="118" spans="1:31" x14ac:dyDescent="0.25">
      <c r="A118">
        <v>6298</v>
      </c>
      <c r="B118">
        <v>2959</v>
      </c>
      <c r="C118">
        <v>1471</v>
      </c>
      <c r="D118">
        <v>1</v>
      </c>
      <c r="E118">
        <v>1035</v>
      </c>
      <c r="F118">
        <v>12234</v>
      </c>
      <c r="G118">
        <v>6.75</v>
      </c>
      <c r="H118">
        <v>13.13</v>
      </c>
      <c r="I118">
        <v>4.57</v>
      </c>
      <c r="J118">
        <v>0</v>
      </c>
      <c r="K118">
        <v>2.14</v>
      </c>
      <c r="L118">
        <v>25.34</v>
      </c>
      <c r="M118">
        <v>9.19</v>
      </c>
      <c r="N118">
        <v>14.62</v>
      </c>
      <c r="O118">
        <v>14.83</v>
      </c>
      <c r="P118">
        <v>3.93</v>
      </c>
      <c r="Q118">
        <v>24.82</v>
      </c>
      <c r="R118">
        <v>33.79</v>
      </c>
      <c r="S118">
        <v>28.65</v>
      </c>
      <c r="T118">
        <v>2077</v>
      </c>
      <c r="U118">
        <v>1904</v>
      </c>
      <c r="V118">
        <v>1182</v>
      </c>
      <c r="W118">
        <v>869</v>
      </c>
      <c r="X118">
        <v>8517</v>
      </c>
      <c r="Y118">
        <v>867</v>
      </c>
      <c r="Z118">
        <v>5179</v>
      </c>
      <c r="AA118">
        <v>2226</v>
      </c>
      <c r="AB118">
        <v>16.126999999999999</v>
      </c>
      <c r="AC118">
        <v>16789</v>
      </c>
      <c r="AD118">
        <v>0.42</v>
      </c>
      <c r="AE118" s="1">
        <v>0.522610758282959</v>
      </c>
    </row>
    <row r="119" spans="1:31" x14ac:dyDescent="0.25">
      <c r="A119">
        <v>10853</v>
      </c>
      <c r="B119">
        <v>3414</v>
      </c>
      <c r="C119">
        <v>1544</v>
      </c>
      <c r="D119">
        <v>1</v>
      </c>
      <c r="E119">
        <v>480</v>
      </c>
      <c r="F119">
        <v>11753</v>
      </c>
      <c r="G119">
        <v>11.63</v>
      </c>
      <c r="H119">
        <v>15.15</v>
      </c>
      <c r="I119">
        <v>4.8</v>
      </c>
      <c r="J119">
        <v>0</v>
      </c>
      <c r="K119">
        <v>1</v>
      </c>
      <c r="L119">
        <v>24.34</v>
      </c>
      <c r="M119">
        <v>10.61</v>
      </c>
      <c r="N119">
        <v>15.35</v>
      </c>
      <c r="O119">
        <v>12.35</v>
      </c>
      <c r="P119">
        <v>8.11</v>
      </c>
      <c r="Q119">
        <v>24.82</v>
      </c>
      <c r="R119">
        <v>32.46</v>
      </c>
      <c r="S119">
        <v>31.41</v>
      </c>
      <c r="T119">
        <v>2077</v>
      </c>
      <c r="U119">
        <v>1904</v>
      </c>
      <c r="V119">
        <v>1136</v>
      </c>
      <c r="W119">
        <v>483</v>
      </c>
      <c r="X119">
        <v>8322</v>
      </c>
      <c r="Y119">
        <v>997</v>
      </c>
      <c r="Z119">
        <v>5204</v>
      </c>
      <c r="AA119">
        <v>3037</v>
      </c>
      <c r="AB119">
        <v>14.388999999999999</v>
      </c>
      <c r="AC119">
        <v>17560</v>
      </c>
      <c r="AD119">
        <v>0.46</v>
      </c>
      <c r="AE119" s="1">
        <v>0.524753232841074</v>
      </c>
    </row>
    <row r="120" spans="1:31" x14ac:dyDescent="0.25">
      <c r="A120">
        <v>10320</v>
      </c>
      <c r="B120">
        <v>3427</v>
      </c>
      <c r="C120">
        <v>1564</v>
      </c>
      <c r="D120">
        <v>1</v>
      </c>
      <c r="E120">
        <v>480</v>
      </c>
      <c r="F120">
        <v>11638</v>
      </c>
      <c r="G120">
        <v>11.06</v>
      </c>
      <c r="H120">
        <v>15.21</v>
      </c>
      <c r="I120">
        <v>4.8600000000000003</v>
      </c>
      <c r="J120">
        <v>0</v>
      </c>
      <c r="K120">
        <v>0.99</v>
      </c>
      <c r="L120">
        <v>24.11</v>
      </c>
      <c r="M120">
        <v>10.65</v>
      </c>
      <c r="N120">
        <v>15.55</v>
      </c>
      <c r="O120">
        <v>12.46</v>
      </c>
      <c r="P120">
        <v>7.64</v>
      </c>
      <c r="Q120">
        <v>24.82</v>
      </c>
      <c r="R120">
        <v>32.14</v>
      </c>
      <c r="S120">
        <v>31.53</v>
      </c>
      <c r="T120">
        <v>2077</v>
      </c>
      <c r="U120">
        <v>1904</v>
      </c>
      <c r="V120">
        <v>1125</v>
      </c>
      <c r="W120">
        <v>515</v>
      </c>
      <c r="X120">
        <v>8353</v>
      </c>
      <c r="Y120">
        <v>987</v>
      </c>
      <c r="Z120">
        <v>5211</v>
      </c>
      <c r="AA120">
        <v>2960</v>
      </c>
      <c r="AB120">
        <v>14.611000000000001</v>
      </c>
      <c r="AC120">
        <v>17511</v>
      </c>
      <c r="AD120">
        <v>0.46</v>
      </c>
      <c r="AE120" s="1">
        <v>0.52651312265666805</v>
      </c>
    </row>
    <row r="121" spans="1:31" x14ac:dyDescent="0.25">
      <c r="A121">
        <v>9971</v>
      </c>
      <c r="B121">
        <v>3410</v>
      </c>
      <c r="C121">
        <v>1564</v>
      </c>
      <c r="D121">
        <v>12</v>
      </c>
      <c r="E121">
        <v>695</v>
      </c>
      <c r="F121">
        <v>11438</v>
      </c>
      <c r="G121">
        <v>10.68</v>
      </c>
      <c r="H121">
        <v>15.13</v>
      </c>
      <c r="I121">
        <v>4.8600000000000003</v>
      </c>
      <c r="J121">
        <v>0.02</v>
      </c>
      <c r="K121">
        <v>1.44</v>
      </c>
      <c r="L121">
        <v>23.69</v>
      </c>
      <c r="M121">
        <v>10.59</v>
      </c>
      <c r="N121">
        <v>15.55</v>
      </c>
      <c r="O121">
        <v>12.58</v>
      </c>
      <c r="P121">
        <v>7.32</v>
      </c>
      <c r="Q121">
        <v>24.85</v>
      </c>
      <c r="R121">
        <v>31.59</v>
      </c>
      <c r="S121">
        <v>31.87</v>
      </c>
      <c r="T121">
        <v>2081</v>
      </c>
      <c r="U121">
        <v>1904</v>
      </c>
      <c r="V121">
        <v>1105</v>
      </c>
      <c r="W121">
        <v>541</v>
      </c>
      <c r="X121">
        <v>8393</v>
      </c>
      <c r="Y121">
        <v>978</v>
      </c>
      <c r="Z121">
        <v>5209</v>
      </c>
      <c r="AA121">
        <v>2902</v>
      </c>
      <c r="AB121">
        <v>14.843</v>
      </c>
      <c r="AC121">
        <v>17482</v>
      </c>
      <c r="AD121">
        <v>0.45</v>
      </c>
      <c r="AE121" s="1">
        <v>0.53026245313336895</v>
      </c>
    </row>
    <row r="122" spans="1:31" x14ac:dyDescent="0.25">
      <c r="A122">
        <v>10527</v>
      </c>
      <c r="B122">
        <v>3536</v>
      </c>
      <c r="C122">
        <v>1410</v>
      </c>
      <c r="D122">
        <v>4</v>
      </c>
      <c r="E122">
        <v>567</v>
      </c>
      <c r="F122">
        <v>12125</v>
      </c>
      <c r="G122">
        <v>11.28</v>
      </c>
      <c r="H122">
        <v>15.69</v>
      </c>
      <c r="I122">
        <v>4.38</v>
      </c>
      <c r="J122">
        <v>0.01</v>
      </c>
      <c r="K122">
        <v>1.17</v>
      </c>
      <c r="L122">
        <v>25.11</v>
      </c>
      <c r="M122">
        <v>10.99</v>
      </c>
      <c r="N122">
        <v>14.02</v>
      </c>
      <c r="O122">
        <v>11.8</v>
      </c>
      <c r="P122">
        <v>8.17</v>
      </c>
      <c r="Q122">
        <v>24.83</v>
      </c>
      <c r="R122">
        <v>33.49</v>
      </c>
      <c r="S122">
        <v>32.69</v>
      </c>
      <c r="T122">
        <v>2078</v>
      </c>
      <c r="U122">
        <v>1904</v>
      </c>
      <c r="V122">
        <v>1172</v>
      </c>
      <c r="W122">
        <v>442</v>
      </c>
      <c r="X122">
        <v>8429</v>
      </c>
      <c r="Y122">
        <v>1009</v>
      </c>
      <c r="Z122">
        <v>5159</v>
      </c>
      <c r="AA122">
        <v>3024</v>
      </c>
      <c r="AB122">
        <v>14.442</v>
      </c>
      <c r="AC122">
        <v>17621</v>
      </c>
      <c r="AD122">
        <v>0.45</v>
      </c>
      <c r="AE122" s="1">
        <v>0.530415487030377</v>
      </c>
    </row>
    <row r="123" spans="1:31" x14ac:dyDescent="0.25">
      <c r="A123">
        <v>14389</v>
      </c>
      <c r="B123">
        <v>3589</v>
      </c>
      <c r="C123">
        <v>1394</v>
      </c>
      <c r="D123">
        <v>3</v>
      </c>
      <c r="E123">
        <v>715</v>
      </c>
      <c r="F123">
        <v>11974</v>
      </c>
      <c r="G123">
        <v>15.41</v>
      </c>
      <c r="H123">
        <v>15.93</v>
      </c>
      <c r="I123">
        <v>4.33</v>
      </c>
      <c r="J123">
        <v>0.01</v>
      </c>
      <c r="K123">
        <v>1.48</v>
      </c>
      <c r="L123">
        <v>24.8</v>
      </c>
      <c r="M123">
        <v>11.15</v>
      </c>
      <c r="N123">
        <v>13.86</v>
      </c>
      <c r="O123">
        <v>11.01</v>
      </c>
      <c r="P123">
        <v>11.8</v>
      </c>
      <c r="Q123">
        <v>24.83</v>
      </c>
      <c r="R123">
        <v>33.07</v>
      </c>
      <c r="S123">
        <v>33.5</v>
      </c>
      <c r="T123">
        <v>2078</v>
      </c>
      <c r="U123">
        <v>1904</v>
      </c>
      <c r="V123">
        <v>1157</v>
      </c>
      <c r="W123">
        <v>192</v>
      </c>
      <c r="X123">
        <v>8233</v>
      </c>
      <c r="Y123">
        <v>1092</v>
      </c>
      <c r="Z123">
        <v>5154</v>
      </c>
      <c r="AA123">
        <v>3620</v>
      </c>
      <c r="AB123">
        <v>13.081</v>
      </c>
      <c r="AC123">
        <v>18099</v>
      </c>
      <c r="AD123">
        <v>0.52</v>
      </c>
      <c r="AE123" s="1">
        <v>0.53056852092738505</v>
      </c>
    </row>
    <row r="124" spans="1:31" x14ac:dyDescent="0.25">
      <c r="A124">
        <v>14845</v>
      </c>
      <c r="B124">
        <v>3715</v>
      </c>
      <c r="C124">
        <v>1351</v>
      </c>
      <c r="D124">
        <v>4</v>
      </c>
      <c r="E124">
        <v>522</v>
      </c>
      <c r="F124">
        <v>12185</v>
      </c>
      <c r="G124">
        <v>15.9</v>
      </c>
      <c r="H124">
        <v>16.489999999999998</v>
      </c>
      <c r="I124">
        <v>4.2</v>
      </c>
      <c r="J124">
        <v>0.01</v>
      </c>
      <c r="K124">
        <v>1.08</v>
      </c>
      <c r="L124">
        <v>25.24</v>
      </c>
      <c r="M124">
        <v>11.54</v>
      </c>
      <c r="N124">
        <v>13.43</v>
      </c>
      <c r="O124">
        <v>10.56</v>
      </c>
      <c r="P124">
        <v>12.54</v>
      </c>
      <c r="Q124">
        <v>24.83</v>
      </c>
      <c r="R124">
        <v>33.65</v>
      </c>
      <c r="S124">
        <v>34.18</v>
      </c>
      <c r="T124">
        <v>2078</v>
      </c>
      <c r="U124">
        <v>1904</v>
      </c>
      <c r="V124">
        <v>1178</v>
      </c>
      <c r="W124">
        <v>121</v>
      </c>
      <c r="X124">
        <v>8241</v>
      </c>
      <c r="Y124">
        <v>1115</v>
      </c>
      <c r="Z124">
        <v>5139</v>
      </c>
      <c r="AA124">
        <v>3724</v>
      </c>
      <c r="AB124">
        <v>12.811999999999999</v>
      </c>
      <c r="AC124">
        <v>18219</v>
      </c>
      <c r="AD124">
        <v>0.52</v>
      </c>
      <c r="AE124" s="1">
        <v>0.53232841074297899</v>
      </c>
    </row>
    <row r="125" spans="1:31" x14ac:dyDescent="0.25">
      <c r="A125">
        <v>10527</v>
      </c>
      <c r="B125">
        <v>3592</v>
      </c>
      <c r="C125">
        <v>1393</v>
      </c>
      <c r="D125">
        <v>4</v>
      </c>
      <c r="E125">
        <v>567</v>
      </c>
      <c r="F125">
        <v>12122</v>
      </c>
      <c r="G125">
        <v>11.28</v>
      </c>
      <c r="H125">
        <v>15.94</v>
      </c>
      <c r="I125">
        <v>4.33</v>
      </c>
      <c r="J125">
        <v>0.01</v>
      </c>
      <c r="K125">
        <v>1.17</v>
      </c>
      <c r="L125">
        <v>25.11</v>
      </c>
      <c r="M125">
        <v>11.16</v>
      </c>
      <c r="N125">
        <v>13.85</v>
      </c>
      <c r="O125">
        <v>11.61</v>
      </c>
      <c r="P125">
        <v>8.2899999999999991</v>
      </c>
      <c r="Q125">
        <v>24.83</v>
      </c>
      <c r="R125">
        <v>33.479999999999997</v>
      </c>
      <c r="S125">
        <v>33.19</v>
      </c>
      <c r="T125">
        <v>2078</v>
      </c>
      <c r="U125">
        <v>1904</v>
      </c>
      <c r="V125">
        <v>1171</v>
      </c>
      <c r="W125">
        <v>423</v>
      </c>
      <c r="X125">
        <v>8452</v>
      </c>
      <c r="Y125">
        <v>1015</v>
      </c>
      <c r="Z125">
        <v>5153</v>
      </c>
      <c r="AA125">
        <v>3040</v>
      </c>
      <c r="AB125">
        <v>14.439</v>
      </c>
      <c r="AC125">
        <v>17660</v>
      </c>
      <c r="AD125">
        <v>0.45</v>
      </c>
      <c r="AE125" s="1">
        <v>0.53278751243400402</v>
      </c>
    </row>
    <row r="126" spans="1:31" x14ac:dyDescent="0.25">
      <c r="A126">
        <v>12059</v>
      </c>
      <c r="B126">
        <v>3708</v>
      </c>
      <c r="C126">
        <v>1398</v>
      </c>
      <c r="D126">
        <v>2</v>
      </c>
      <c r="E126">
        <v>388</v>
      </c>
      <c r="F126">
        <v>12104</v>
      </c>
      <c r="G126">
        <v>12.92</v>
      </c>
      <c r="H126">
        <v>16.46</v>
      </c>
      <c r="I126">
        <v>4.34</v>
      </c>
      <c r="J126">
        <v>0</v>
      </c>
      <c r="K126">
        <v>0.8</v>
      </c>
      <c r="L126">
        <v>25.07</v>
      </c>
      <c r="M126">
        <v>11.52</v>
      </c>
      <c r="N126">
        <v>13.9</v>
      </c>
      <c r="O126">
        <v>11.05</v>
      </c>
      <c r="P126">
        <v>9.8699999999999992</v>
      </c>
      <c r="Q126">
        <v>24.82</v>
      </c>
      <c r="R126">
        <v>33.43</v>
      </c>
      <c r="S126">
        <v>33.81</v>
      </c>
      <c r="T126">
        <v>2077</v>
      </c>
      <c r="U126">
        <v>1904</v>
      </c>
      <c r="V126">
        <v>1170</v>
      </c>
      <c r="W126">
        <v>300</v>
      </c>
      <c r="X126">
        <v>8380</v>
      </c>
      <c r="Y126">
        <v>1057</v>
      </c>
      <c r="Z126">
        <v>5155</v>
      </c>
      <c r="AA126">
        <v>3304</v>
      </c>
      <c r="AB126">
        <v>13.826000000000001</v>
      </c>
      <c r="AC126">
        <v>17896</v>
      </c>
      <c r="AD126">
        <v>0.47</v>
      </c>
      <c r="AE126" s="1">
        <v>0.53317009717652397</v>
      </c>
    </row>
    <row r="127" spans="1:31" x14ac:dyDescent="0.25">
      <c r="A127">
        <v>13849</v>
      </c>
      <c r="B127">
        <v>3734</v>
      </c>
      <c r="C127">
        <v>1351</v>
      </c>
      <c r="D127">
        <v>4</v>
      </c>
      <c r="E127">
        <v>522</v>
      </c>
      <c r="F127">
        <v>12155</v>
      </c>
      <c r="G127">
        <v>14.84</v>
      </c>
      <c r="H127">
        <v>16.57</v>
      </c>
      <c r="I127">
        <v>4.2</v>
      </c>
      <c r="J127">
        <v>0.01</v>
      </c>
      <c r="K127">
        <v>1.08</v>
      </c>
      <c r="L127">
        <v>25.18</v>
      </c>
      <c r="M127">
        <v>11.6</v>
      </c>
      <c r="N127">
        <v>13.43</v>
      </c>
      <c r="O127">
        <v>10.64</v>
      </c>
      <c r="P127">
        <v>11.64</v>
      </c>
      <c r="Q127">
        <v>24.83</v>
      </c>
      <c r="R127">
        <v>33.57</v>
      </c>
      <c r="S127">
        <v>34.35</v>
      </c>
      <c r="T127">
        <v>2078</v>
      </c>
      <c r="U127">
        <v>1904</v>
      </c>
      <c r="V127">
        <v>1175</v>
      </c>
      <c r="W127">
        <v>176</v>
      </c>
      <c r="X127">
        <v>8308</v>
      </c>
      <c r="Y127">
        <v>1097</v>
      </c>
      <c r="Z127">
        <v>5139</v>
      </c>
      <c r="AA127">
        <v>3580</v>
      </c>
      <c r="AB127">
        <v>13.185</v>
      </c>
      <c r="AC127">
        <v>18124</v>
      </c>
      <c r="AD127">
        <v>0.5</v>
      </c>
      <c r="AE127" s="1">
        <v>0.53424133445558097</v>
      </c>
    </row>
    <row r="128" spans="1:31" x14ac:dyDescent="0.25">
      <c r="A128">
        <v>13002</v>
      </c>
      <c r="B128">
        <v>3661</v>
      </c>
      <c r="C128">
        <v>1356</v>
      </c>
      <c r="D128">
        <v>0</v>
      </c>
      <c r="E128">
        <v>706</v>
      </c>
      <c r="F128">
        <v>12058</v>
      </c>
      <c r="G128">
        <v>13.93</v>
      </c>
      <c r="H128">
        <v>16.25</v>
      </c>
      <c r="I128">
        <v>4.21</v>
      </c>
      <c r="J128">
        <v>0</v>
      </c>
      <c r="K128">
        <v>1.46</v>
      </c>
      <c r="L128">
        <v>24.98</v>
      </c>
      <c r="M128">
        <v>11.38</v>
      </c>
      <c r="N128">
        <v>13.48</v>
      </c>
      <c r="O128">
        <v>10.95</v>
      </c>
      <c r="P128">
        <v>10.7</v>
      </c>
      <c r="Q128">
        <v>24.82</v>
      </c>
      <c r="R128">
        <v>33.299999999999997</v>
      </c>
      <c r="S128">
        <v>34.130000000000003</v>
      </c>
      <c r="T128">
        <v>2077</v>
      </c>
      <c r="U128">
        <v>1904</v>
      </c>
      <c r="V128">
        <v>1165</v>
      </c>
      <c r="W128">
        <v>248</v>
      </c>
      <c r="X128">
        <v>8350</v>
      </c>
      <c r="Y128">
        <v>1073</v>
      </c>
      <c r="Z128">
        <v>5141</v>
      </c>
      <c r="AA128">
        <v>3432</v>
      </c>
      <c r="AB128">
        <v>13.568</v>
      </c>
      <c r="AC128">
        <v>17996</v>
      </c>
      <c r="AD128">
        <v>0.49</v>
      </c>
      <c r="AE128" s="1">
        <v>0.53485347004361405</v>
      </c>
    </row>
    <row r="129" spans="1:31" x14ac:dyDescent="0.25">
      <c r="A129">
        <v>13069</v>
      </c>
      <c r="B129">
        <v>3732</v>
      </c>
      <c r="C129">
        <v>1345</v>
      </c>
      <c r="D129">
        <v>17</v>
      </c>
      <c r="E129">
        <v>717</v>
      </c>
      <c r="F129">
        <v>11982</v>
      </c>
      <c r="G129">
        <v>14</v>
      </c>
      <c r="H129">
        <v>16.559999999999999</v>
      </c>
      <c r="I129">
        <v>4.18</v>
      </c>
      <c r="J129">
        <v>0.03</v>
      </c>
      <c r="K129">
        <v>1.48</v>
      </c>
      <c r="L129">
        <v>24.82</v>
      </c>
      <c r="M129">
        <v>11.59</v>
      </c>
      <c r="N129">
        <v>13.37</v>
      </c>
      <c r="O129">
        <v>10.75</v>
      </c>
      <c r="P129">
        <v>10.91</v>
      </c>
      <c r="Q129">
        <v>24.86</v>
      </c>
      <c r="R129">
        <v>33.090000000000003</v>
      </c>
      <c r="S129">
        <v>34.78</v>
      </c>
      <c r="T129">
        <v>2083</v>
      </c>
      <c r="U129">
        <v>1904</v>
      </c>
      <c r="V129">
        <v>1158</v>
      </c>
      <c r="W129">
        <v>222</v>
      </c>
      <c r="X129">
        <v>8379</v>
      </c>
      <c r="Y129">
        <v>1082</v>
      </c>
      <c r="Z129">
        <v>5138</v>
      </c>
      <c r="AA129">
        <v>3463</v>
      </c>
      <c r="AB129">
        <v>13.566000000000001</v>
      </c>
      <c r="AC129">
        <v>18062</v>
      </c>
      <c r="AD129">
        <v>0.49</v>
      </c>
      <c r="AE129" s="1">
        <v>0.53860280052031495</v>
      </c>
    </row>
    <row r="130" spans="1:31" x14ac:dyDescent="0.25">
      <c r="A130">
        <v>6339</v>
      </c>
      <c r="B130">
        <v>3301</v>
      </c>
      <c r="C130">
        <v>1471</v>
      </c>
      <c r="D130">
        <v>1</v>
      </c>
      <c r="E130">
        <v>1149</v>
      </c>
      <c r="F130">
        <v>11605</v>
      </c>
      <c r="G130">
        <v>6.79</v>
      </c>
      <c r="H130">
        <v>14.65</v>
      </c>
      <c r="I130">
        <v>4.57</v>
      </c>
      <c r="J130">
        <v>0</v>
      </c>
      <c r="K130">
        <v>2.38</v>
      </c>
      <c r="L130">
        <v>24.04</v>
      </c>
      <c r="M130">
        <v>10.26</v>
      </c>
      <c r="N130">
        <v>14.62</v>
      </c>
      <c r="O130">
        <v>13.68</v>
      </c>
      <c r="P130">
        <v>4.33</v>
      </c>
      <c r="Q130">
        <v>24.82</v>
      </c>
      <c r="R130">
        <v>32.049999999999997</v>
      </c>
      <c r="S130">
        <v>31.95</v>
      </c>
      <c r="T130">
        <v>2077</v>
      </c>
      <c r="U130">
        <v>1904</v>
      </c>
      <c r="V130">
        <v>1122</v>
      </c>
      <c r="W130">
        <v>772</v>
      </c>
      <c r="X130">
        <v>8643</v>
      </c>
      <c r="Y130">
        <v>900</v>
      </c>
      <c r="Z130">
        <v>5180</v>
      </c>
      <c r="AA130">
        <v>2328</v>
      </c>
      <c r="AB130">
        <v>16.260999999999999</v>
      </c>
      <c r="AC130">
        <v>17051</v>
      </c>
      <c r="AD130">
        <v>0.41</v>
      </c>
      <c r="AE130" s="1">
        <v>0.53906190221133898</v>
      </c>
    </row>
    <row r="131" spans="1:31" x14ac:dyDescent="0.25">
      <c r="A131">
        <v>14651</v>
      </c>
      <c r="B131">
        <v>3937</v>
      </c>
      <c r="C131">
        <v>1338</v>
      </c>
      <c r="D131">
        <v>2</v>
      </c>
      <c r="E131">
        <v>334</v>
      </c>
      <c r="F131">
        <v>12101</v>
      </c>
      <c r="G131">
        <v>15.7</v>
      </c>
      <c r="H131">
        <v>17.47</v>
      </c>
      <c r="I131">
        <v>4.16</v>
      </c>
      <c r="J131">
        <v>0</v>
      </c>
      <c r="K131">
        <v>0.69</v>
      </c>
      <c r="L131">
        <v>25.06</v>
      </c>
      <c r="M131">
        <v>12.23</v>
      </c>
      <c r="N131">
        <v>13.31</v>
      </c>
      <c r="O131">
        <v>10.039999999999999</v>
      </c>
      <c r="P131">
        <v>12.83</v>
      </c>
      <c r="Q131">
        <v>24.83</v>
      </c>
      <c r="R131">
        <v>33.42</v>
      </c>
      <c r="S131">
        <v>35.71</v>
      </c>
      <c r="T131">
        <v>2077</v>
      </c>
      <c r="U131">
        <v>1904</v>
      </c>
      <c r="V131">
        <v>1169</v>
      </c>
      <c r="W131">
        <v>69</v>
      </c>
      <c r="X131">
        <v>8312</v>
      </c>
      <c r="Y131">
        <v>1133</v>
      </c>
      <c r="Z131">
        <v>5136</v>
      </c>
      <c r="AA131">
        <v>3758</v>
      </c>
      <c r="AB131">
        <v>12.843</v>
      </c>
      <c r="AC131">
        <v>18339</v>
      </c>
      <c r="AD131">
        <v>0.52</v>
      </c>
      <c r="AE131" s="1">
        <v>0.54005662254189302</v>
      </c>
    </row>
    <row r="132" spans="1:31" x14ac:dyDescent="0.25">
      <c r="A132">
        <v>5771</v>
      </c>
      <c r="B132">
        <v>3529</v>
      </c>
      <c r="C132">
        <v>1365</v>
      </c>
      <c r="D132">
        <v>5</v>
      </c>
      <c r="E132">
        <v>729</v>
      </c>
      <c r="F132">
        <v>12190</v>
      </c>
      <c r="G132">
        <v>6.18</v>
      </c>
      <c r="H132">
        <v>15.66</v>
      </c>
      <c r="I132">
        <v>4.24</v>
      </c>
      <c r="J132">
        <v>0.01</v>
      </c>
      <c r="K132">
        <v>1.51</v>
      </c>
      <c r="L132">
        <v>25.25</v>
      </c>
      <c r="M132">
        <v>10.97</v>
      </c>
      <c r="N132">
        <v>13.57</v>
      </c>
      <c r="O132">
        <v>12.98</v>
      </c>
      <c r="P132">
        <v>4.3600000000000003</v>
      </c>
      <c r="Q132">
        <v>24.83</v>
      </c>
      <c r="R132">
        <v>33.659999999999997</v>
      </c>
      <c r="S132">
        <v>33.01</v>
      </c>
      <c r="T132">
        <v>2078</v>
      </c>
      <c r="U132">
        <v>1904</v>
      </c>
      <c r="V132">
        <v>1178</v>
      </c>
      <c r="W132">
        <v>722</v>
      </c>
      <c r="X132">
        <v>8742</v>
      </c>
      <c r="Y132">
        <v>916</v>
      </c>
      <c r="Z132">
        <v>5145</v>
      </c>
      <c r="AA132">
        <v>2308</v>
      </c>
      <c r="AB132">
        <v>16.225999999999999</v>
      </c>
      <c r="AC132">
        <v>17111</v>
      </c>
      <c r="AD132">
        <v>0.39</v>
      </c>
      <c r="AE132" s="1">
        <v>0.54189302930599104</v>
      </c>
    </row>
    <row r="133" spans="1:31" x14ac:dyDescent="0.25">
      <c r="A133">
        <v>13588</v>
      </c>
      <c r="B133">
        <v>3975</v>
      </c>
      <c r="C133">
        <v>1346</v>
      </c>
      <c r="D133">
        <v>0</v>
      </c>
      <c r="E133">
        <v>316</v>
      </c>
      <c r="F133">
        <v>12024</v>
      </c>
      <c r="G133">
        <v>14.56</v>
      </c>
      <c r="H133">
        <v>17.64</v>
      </c>
      <c r="I133">
        <v>4.18</v>
      </c>
      <c r="J133">
        <v>0</v>
      </c>
      <c r="K133">
        <v>0.66</v>
      </c>
      <c r="L133">
        <v>24.91</v>
      </c>
      <c r="M133">
        <v>12.35</v>
      </c>
      <c r="N133">
        <v>13.39</v>
      </c>
      <c r="O133">
        <v>10.1</v>
      </c>
      <c r="P133">
        <v>11.9</v>
      </c>
      <c r="Q133">
        <v>24.82</v>
      </c>
      <c r="R133">
        <v>33.21</v>
      </c>
      <c r="S133">
        <v>36.020000000000003</v>
      </c>
      <c r="T133">
        <v>2077</v>
      </c>
      <c r="U133">
        <v>1904</v>
      </c>
      <c r="V133">
        <v>1162</v>
      </c>
      <c r="W133">
        <v>123</v>
      </c>
      <c r="X133">
        <v>8385</v>
      </c>
      <c r="Y133">
        <v>1115</v>
      </c>
      <c r="Z133">
        <v>5138</v>
      </c>
      <c r="AA133">
        <v>3609</v>
      </c>
      <c r="AB133">
        <v>13.244999999999999</v>
      </c>
      <c r="AC133">
        <v>18247</v>
      </c>
      <c r="AD133">
        <v>0.5</v>
      </c>
      <c r="AE133" s="1">
        <v>0.54281123268803999</v>
      </c>
    </row>
    <row r="134" spans="1:31" x14ac:dyDescent="0.25">
      <c r="A134">
        <v>13160</v>
      </c>
      <c r="B134">
        <v>3894</v>
      </c>
      <c r="C134">
        <v>1284</v>
      </c>
      <c r="D134">
        <v>4</v>
      </c>
      <c r="E134">
        <v>581</v>
      </c>
      <c r="F134">
        <v>12180</v>
      </c>
      <c r="G134">
        <v>14.1</v>
      </c>
      <c r="H134">
        <v>17.28</v>
      </c>
      <c r="I134">
        <v>3.99</v>
      </c>
      <c r="J134">
        <v>0.01</v>
      </c>
      <c r="K134">
        <v>1.2</v>
      </c>
      <c r="L134">
        <v>25.23</v>
      </c>
      <c r="M134">
        <v>12.1</v>
      </c>
      <c r="N134">
        <v>12.76</v>
      </c>
      <c r="O134">
        <v>10.25</v>
      </c>
      <c r="P134">
        <v>11.42</v>
      </c>
      <c r="Q134">
        <v>24.83</v>
      </c>
      <c r="R134">
        <v>33.64</v>
      </c>
      <c r="S134">
        <v>35.9</v>
      </c>
      <c r="T134">
        <v>2078</v>
      </c>
      <c r="U134">
        <v>1904</v>
      </c>
      <c r="V134">
        <v>1177</v>
      </c>
      <c r="W134">
        <v>160</v>
      </c>
      <c r="X134">
        <v>8427</v>
      </c>
      <c r="Y134">
        <v>1102</v>
      </c>
      <c r="Z134">
        <v>5118</v>
      </c>
      <c r="AA134">
        <v>3523</v>
      </c>
      <c r="AB134">
        <v>13.44</v>
      </c>
      <c r="AC134">
        <v>18170</v>
      </c>
      <c r="AD134">
        <v>0.49</v>
      </c>
      <c r="AE134" s="1">
        <v>0.54311730048205598</v>
      </c>
    </row>
    <row r="135" spans="1:31" x14ac:dyDescent="0.25">
      <c r="A135">
        <v>14783</v>
      </c>
      <c r="B135">
        <v>4031</v>
      </c>
      <c r="C135">
        <v>1329</v>
      </c>
      <c r="D135">
        <v>1</v>
      </c>
      <c r="E135">
        <v>349</v>
      </c>
      <c r="F135">
        <v>11991</v>
      </c>
      <c r="G135">
        <v>15.84</v>
      </c>
      <c r="H135">
        <v>17.89</v>
      </c>
      <c r="I135">
        <v>4.13</v>
      </c>
      <c r="J135">
        <v>0</v>
      </c>
      <c r="K135">
        <v>0.72</v>
      </c>
      <c r="L135">
        <v>24.84</v>
      </c>
      <c r="M135">
        <v>12.52</v>
      </c>
      <c r="N135">
        <v>13.21</v>
      </c>
      <c r="O135">
        <v>9.8000000000000007</v>
      </c>
      <c r="P135">
        <v>13.18</v>
      </c>
      <c r="Q135">
        <v>24.82</v>
      </c>
      <c r="R135">
        <v>33.119999999999997</v>
      </c>
      <c r="S135">
        <v>36.590000000000003</v>
      </c>
      <c r="T135">
        <v>2077</v>
      </c>
      <c r="U135">
        <v>1904</v>
      </c>
      <c r="V135">
        <v>1159</v>
      </c>
      <c r="W135">
        <v>33</v>
      </c>
      <c r="X135">
        <v>8340</v>
      </c>
      <c r="Y135">
        <v>1145</v>
      </c>
      <c r="Z135">
        <v>5133</v>
      </c>
      <c r="AA135">
        <v>3805</v>
      </c>
      <c r="AB135">
        <v>12.816000000000001</v>
      </c>
      <c r="AC135">
        <v>18423</v>
      </c>
      <c r="AD135">
        <v>0.52</v>
      </c>
      <c r="AE135" s="1">
        <v>0.54487719029765103</v>
      </c>
    </row>
    <row r="136" spans="1:31" x14ac:dyDescent="0.25">
      <c r="A136">
        <v>14047</v>
      </c>
      <c r="B136">
        <v>4084</v>
      </c>
      <c r="C136">
        <v>1271</v>
      </c>
      <c r="D136">
        <v>11</v>
      </c>
      <c r="E136">
        <v>352</v>
      </c>
      <c r="F136">
        <v>12176</v>
      </c>
      <c r="G136">
        <v>15.05</v>
      </c>
      <c r="H136">
        <v>18.13</v>
      </c>
      <c r="I136">
        <v>3.95</v>
      </c>
      <c r="J136">
        <v>0.02</v>
      </c>
      <c r="K136">
        <v>0.73</v>
      </c>
      <c r="L136">
        <v>25.22</v>
      </c>
      <c r="M136">
        <v>12.69</v>
      </c>
      <c r="N136">
        <v>12.64</v>
      </c>
      <c r="O136">
        <v>9.69</v>
      </c>
      <c r="P136">
        <v>12.69</v>
      </c>
      <c r="Q136">
        <v>24.85</v>
      </c>
      <c r="R136">
        <v>33.630000000000003</v>
      </c>
      <c r="S136">
        <v>37.07</v>
      </c>
      <c r="T136">
        <v>2081</v>
      </c>
      <c r="U136">
        <v>1904</v>
      </c>
      <c r="V136">
        <v>1177</v>
      </c>
      <c r="W136">
        <v>51</v>
      </c>
      <c r="X136">
        <v>8421</v>
      </c>
      <c r="Y136">
        <v>1138</v>
      </c>
      <c r="Z136">
        <v>5115</v>
      </c>
      <c r="AA136">
        <v>3710</v>
      </c>
      <c r="AB136">
        <v>13.05</v>
      </c>
      <c r="AC136">
        <v>18384</v>
      </c>
      <c r="AD136">
        <v>0.51</v>
      </c>
      <c r="AE136" s="1">
        <v>0.54793786823781399</v>
      </c>
    </row>
    <row r="137" spans="1:31" x14ac:dyDescent="0.25">
      <c r="A137">
        <v>5776</v>
      </c>
      <c r="B137">
        <v>3819</v>
      </c>
      <c r="C137">
        <v>1339</v>
      </c>
      <c r="D137">
        <v>11</v>
      </c>
      <c r="E137">
        <v>353</v>
      </c>
      <c r="F137">
        <v>12248</v>
      </c>
      <c r="G137">
        <v>6.19</v>
      </c>
      <c r="H137">
        <v>16.95</v>
      </c>
      <c r="I137">
        <v>4.16</v>
      </c>
      <c r="J137">
        <v>0.02</v>
      </c>
      <c r="K137">
        <v>0.73</v>
      </c>
      <c r="L137">
        <v>25.37</v>
      </c>
      <c r="M137">
        <v>11.87</v>
      </c>
      <c r="N137">
        <v>13.31</v>
      </c>
      <c r="O137">
        <v>12.14</v>
      </c>
      <c r="P137">
        <v>4.9000000000000004</v>
      </c>
      <c r="Q137">
        <v>24.85</v>
      </c>
      <c r="R137">
        <v>33.82</v>
      </c>
      <c r="S137">
        <v>34.71</v>
      </c>
      <c r="T137">
        <v>2081</v>
      </c>
      <c r="U137">
        <v>1904</v>
      </c>
      <c r="V137">
        <v>1184</v>
      </c>
      <c r="W137">
        <v>636</v>
      </c>
      <c r="X137">
        <v>8811</v>
      </c>
      <c r="Y137">
        <v>944</v>
      </c>
      <c r="Z137">
        <v>5136</v>
      </c>
      <c r="AA137">
        <v>2391</v>
      </c>
      <c r="AB137">
        <v>16.106000000000002</v>
      </c>
      <c r="AC137">
        <v>17282</v>
      </c>
      <c r="AD137">
        <v>0.39</v>
      </c>
      <c r="AE137" s="1">
        <v>0.54862652077435103</v>
      </c>
    </row>
    <row r="138" spans="1:31" x14ac:dyDescent="0.25">
      <c r="A138">
        <v>13187</v>
      </c>
      <c r="B138">
        <v>4084</v>
      </c>
      <c r="C138">
        <v>1271</v>
      </c>
      <c r="D138">
        <v>11</v>
      </c>
      <c r="E138">
        <v>352</v>
      </c>
      <c r="F138">
        <v>12176</v>
      </c>
      <c r="G138">
        <v>14.13</v>
      </c>
      <c r="H138">
        <v>18.13</v>
      </c>
      <c r="I138">
        <v>3.95</v>
      </c>
      <c r="J138">
        <v>0.02</v>
      </c>
      <c r="K138">
        <v>0.73</v>
      </c>
      <c r="L138">
        <v>25.22</v>
      </c>
      <c r="M138">
        <v>12.69</v>
      </c>
      <c r="N138">
        <v>12.64</v>
      </c>
      <c r="O138">
        <v>9.8000000000000007</v>
      </c>
      <c r="P138">
        <v>11.89</v>
      </c>
      <c r="Q138">
        <v>24.85</v>
      </c>
      <c r="R138">
        <v>33.630000000000003</v>
      </c>
      <c r="S138">
        <v>37.07</v>
      </c>
      <c r="T138">
        <v>2081</v>
      </c>
      <c r="U138">
        <v>1904</v>
      </c>
      <c r="V138">
        <v>1177</v>
      </c>
      <c r="W138">
        <v>103</v>
      </c>
      <c r="X138">
        <v>8473</v>
      </c>
      <c r="Y138">
        <v>1121</v>
      </c>
      <c r="Z138">
        <v>5114</v>
      </c>
      <c r="AA138">
        <v>3580</v>
      </c>
      <c r="AB138">
        <v>13.368</v>
      </c>
      <c r="AC138">
        <v>18288</v>
      </c>
      <c r="AD138">
        <v>0.49</v>
      </c>
      <c r="AE138" s="1">
        <v>0.54877955467135897</v>
      </c>
    </row>
    <row r="139" spans="1:31" x14ac:dyDescent="0.25">
      <c r="A139">
        <v>13003</v>
      </c>
      <c r="B139">
        <v>4086</v>
      </c>
      <c r="C139">
        <v>1271</v>
      </c>
      <c r="D139">
        <v>11</v>
      </c>
      <c r="E139">
        <v>352</v>
      </c>
      <c r="F139">
        <v>12172</v>
      </c>
      <c r="G139">
        <v>13.93</v>
      </c>
      <c r="H139">
        <v>18.14</v>
      </c>
      <c r="I139">
        <v>3.95</v>
      </c>
      <c r="J139">
        <v>0.02</v>
      </c>
      <c r="K139">
        <v>0.73</v>
      </c>
      <c r="L139">
        <v>25.21</v>
      </c>
      <c r="M139">
        <v>12.7</v>
      </c>
      <c r="N139">
        <v>12.64</v>
      </c>
      <c r="O139">
        <v>9.82</v>
      </c>
      <c r="P139">
        <v>11.72</v>
      </c>
      <c r="Q139">
        <v>24.85</v>
      </c>
      <c r="R139">
        <v>33.619999999999997</v>
      </c>
      <c r="S139">
        <v>37.090000000000003</v>
      </c>
      <c r="T139">
        <v>2081</v>
      </c>
      <c r="U139">
        <v>1904</v>
      </c>
      <c r="V139">
        <v>1176</v>
      </c>
      <c r="W139">
        <v>113</v>
      </c>
      <c r="X139">
        <v>8485</v>
      </c>
      <c r="Y139">
        <v>1117</v>
      </c>
      <c r="Z139">
        <v>5114</v>
      </c>
      <c r="AA139">
        <v>3553</v>
      </c>
      <c r="AB139">
        <v>13.436</v>
      </c>
      <c r="AC139">
        <v>18269</v>
      </c>
      <c r="AD139">
        <v>0.49</v>
      </c>
      <c r="AE139" s="1">
        <v>0.54908562246537596</v>
      </c>
    </row>
    <row r="140" spans="1:31" x14ac:dyDescent="0.25">
      <c r="A140">
        <v>14996</v>
      </c>
      <c r="B140">
        <v>4119</v>
      </c>
      <c r="C140">
        <v>1221</v>
      </c>
      <c r="D140">
        <v>6</v>
      </c>
      <c r="E140">
        <v>474</v>
      </c>
      <c r="F140">
        <v>12248</v>
      </c>
      <c r="G140">
        <v>16.07</v>
      </c>
      <c r="H140">
        <v>18.28</v>
      </c>
      <c r="I140">
        <v>3.79</v>
      </c>
      <c r="J140">
        <v>0.01</v>
      </c>
      <c r="K140">
        <v>0.98</v>
      </c>
      <c r="L140">
        <v>25.37</v>
      </c>
      <c r="M140">
        <v>12.8</v>
      </c>
      <c r="N140">
        <v>12.14</v>
      </c>
      <c r="O140">
        <v>9.42</v>
      </c>
      <c r="P140">
        <v>13.76</v>
      </c>
      <c r="Q140">
        <v>24.84</v>
      </c>
      <c r="R140">
        <v>33.83</v>
      </c>
      <c r="S140">
        <v>37.659999999999997</v>
      </c>
      <c r="T140">
        <v>2079</v>
      </c>
      <c r="U140">
        <v>1904</v>
      </c>
      <c r="V140">
        <v>1184</v>
      </c>
      <c r="W140">
        <v>-26</v>
      </c>
      <c r="X140">
        <v>8400</v>
      </c>
      <c r="Y140">
        <v>1163</v>
      </c>
      <c r="Z140">
        <v>5097</v>
      </c>
      <c r="AA140">
        <v>3863</v>
      </c>
      <c r="AB140">
        <v>12.709</v>
      </c>
      <c r="AC140">
        <v>18523</v>
      </c>
      <c r="AD140">
        <v>0.52</v>
      </c>
      <c r="AE140" s="1">
        <v>0.55030989364144101</v>
      </c>
    </row>
    <row r="141" spans="1:31" x14ac:dyDescent="0.25">
      <c r="A141">
        <v>13187</v>
      </c>
      <c r="B141">
        <v>4131</v>
      </c>
      <c r="C141">
        <v>1259</v>
      </c>
      <c r="D141">
        <v>2</v>
      </c>
      <c r="E141">
        <v>362</v>
      </c>
      <c r="F141">
        <v>12161</v>
      </c>
      <c r="G141">
        <v>14.13</v>
      </c>
      <c r="H141">
        <v>18.34</v>
      </c>
      <c r="I141">
        <v>3.91</v>
      </c>
      <c r="J141">
        <v>0</v>
      </c>
      <c r="K141">
        <v>0.75</v>
      </c>
      <c r="L141">
        <v>25.19</v>
      </c>
      <c r="M141">
        <v>12.84</v>
      </c>
      <c r="N141">
        <v>12.52</v>
      </c>
      <c r="O141">
        <v>9.68</v>
      </c>
      <c r="P141">
        <v>12.01</v>
      </c>
      <c r="Q141">
        <v>24.82</v>
      </c>
      <c r="R141">
        <v>33.590000000000003</v>
      </c>
      <c r="S141">
        <v>37.51</v>
      </c>
      <c r="T141">
        <v>2077</v>
      </c>
      <c r="U141">
        <v>1904</v>
      </c>
      <c r="V141">
        <v>1175</v>
      </c>
      <c r="W141">
        <v>87</v>
      </c>
      <c r="X141">
        <v>8490</v>
      </c>
      <c r="Y141">
        <v>1126</v>
      </c>
      <c r="Z141">
        <v>5111</v>
      </c>
      <c r="AA141">
        <v>3593</v>
      </c>
      <c r="AB141">
        <v>13.366</v>
      </c>
      <c r="AC141">
        <v>18320</v>
      </c>
      <c r="AD141">
        <v>0.49</v>
      </c>
      <c r="AE141" s="1">
        <v>0.55099854617797805</v>
      </c>
    </row>
    <row r="142" spans="1:31" x14ac:dyDescent="0.25">
      <c r="A142">
        <v>6270</v>
      </c>
      <c r="B142">
        <v>3975</v>
      </c>
      <c r="C142">
        <v>1346</v>
      </c>
      <c r="D142">
        <v>0</v>
      </c>
      <c r="E142">
        <v>207</v>
      </c>
      <c r="F142">
        <v>12134</v>
      </c>
      <c r="G142">
        <v>6.72</v>
      </c>
      <c r="H142">
        <v>17.64</v>
      </c>
      <c r="I142">
        <v>4.18</v>
      </c>
      <c r="J142">
        <v>0</v>
      </c>
      <c r="K142">
        <v>0.43</v>
      </c>
      <c r="L142">
        <v>25.13</v>
      </c>
      <c r="M142">
        <v>12.35</v>
      </c>
      <c r="N142">
        <v>13.39</v>
      </c>
      <c r="O142">
        <v>11.59</v>
      </c>
      <c r="P142">
        <v>5.55</v>
      </c>
      <c r="Q142">
        <v>24.82</v>
      </c>
      <c r="R142">
        <v>33.51</v>
      </c>
      <c r="S142">
        <v>35.770000000000003</v>
      </c>
      <c r="T142">
        <v>2077</v>
      </c>
      <c r="U142">
        <v>1904</v>
      </c>
      <c r="V142">
        <v>1173</v>
      </c>
      <c r="W142">
        <v>564</v>
      </c>
      <c r="X142">
        <v>8814</v>
      </c>
      <c r="Y142">
        <v>968</v>
      </c>
      <c r="Z142">
        <v>5138</v>
      </c>
      <c r="AA142">
        <v>2509</v>
      </c>
      <c r="AB142">
        <v>15.898999999999999</v>
      </c>
      <c r="AC142">
        <v>17429</v>
      </c>
      <c r="AD142">
        <v>0.39</v>
      </c>
      <c r="AE142" s="1">
        <v>0.55229933430254796</v>
      </c>
    </row>
    <row r="143" spans="1:31" x14ac:dyDescent="0.25">
      <c r="A143">
        <v>10683</v>
      </c>
      <c r="B143">
        <v>4078</v>
      </c>
      <c r="C143">
        <v>1246</v>
      </c>
      <c r="D143">
        <v>0</v>
      </c>
      <c r="E143">
        <v>518</v>
      </c>
      <c r="F143">
        <v>12153</v>
      </c>
      <c r="G143">
        <v>11.44</v>
      </c>
      <c r="H143">
        <v>18.100000000000001</v>
      </c>
      <c r="I143">
        <v>3.87</v>
      </c>
      <c r="J143">
        <v>0</v>
      </c>
      <c r="K143">
        <v>1.07</v>
      </c>
      <c r="L143">
        <v>25.17</v>
      </c>
      <c r="M143">
        <v>12.67</v>
      </c>
      <c r="N143">
        <v>12.39</v>
      </c>
      <c r="O143">
        <v>10.15</v>
      </c>
      <c r="P143">
        <v>9.61</v>
      </c>
      <c r="Q143">
        <v>24.82</v>
      </c>
      <c r="R143">
        <v>33.56</v>
      </c>
      <c r="S143">
        <v>37.39</v>
      </c>
      <c r="T143">
        <v>2077</v>
      </c>
      <c r="U143">
        <v>1904</v>
      </c>
      <c r="V143">
        <v>1174</v>
      </c>
      <c r="W143">
        <v>250</v>
      </c>
      <c r="X143">
        <v>8642</v>
      </c>
      <c r="Y143">
        <v>1071</v>
      </c>
      <c r="Z143">
        <v>5104</v>
      </c>
      <c r="AA143">
        <v>3203</v>
      </c>
      <c r="AB143">
        <v>14.335000000000001</v>
      </c>
      <c r="AC143">
        <v>18020</v>
      </c>
      <c r="AD143">
        <v>0.45</v>
      </c>
      <c r="AE143" s="1">
        <v>0.55367663937562095</v>
      </c>
    </row>
    <row r="144" spans="1:31" x14ac:dyDescent="0.25">
      <c r="A144">
        <v>12290</v>
      </c>
      <c r="B144">
        <v>4125</v>
      </c>
      <c r="C144">
        <v>1245</v>
      </c>
      <c r="D144">
        <v>16</v>
      </c>
      <c r="E144">
        <v>495</v>
      </c>
      <c r="F144">
        <v>12090</v>
      </c>
      <c r="G144">
        <v>13.17</v>
      </c>
      <c r="H144">
        <v>18.309999999999999</v>
      </c>
      <c r="I144">
        <v>3.87</v>
      </c>
      <c r="J144">
        <v>0.03</v>
      </c>
      <c r="K144">
        <v>1.03</v>
      </c>
      <c r="L144">
        <v>25.04</v>
      </c>
      <c r="M144">
        <v>12.82</v>
      </c>
      <c r="N144">
        <v>12.38</v>
      </c>
      <c r="O144">
        <v>9.8000000000000007</v>
      </c>
      <c r="P144">
        <v>11.18</v>
      </c>
      <c r="Q144">
        <v>24.86</v>
      </c>
      <c r="R144">
        <v>33.39</v>
      </c>
      <c r="S144">
        <v>37.76</v>
      </c>
      <c r="T144">
        <v>2083</v>
      </c>
      <c r="U144">
        <v>1904</v>
      </c>
      <c r="V144">
        <v>1168</v>
      </c>
      <c r="W144">
        <v>140</v>
      </c>
      <c r="X144">
        <v>8563</v>
      </c>
      <c r="Y144">
        <v>1108</v>
      </c>
      <c r="Z144">
        <v>5106</v>
      </c>
      <c r="AA144">
        <v>3458</v>
      </c>
      <c r="AB144">
        <v>13.754</v>
      </c>
      <c r="AC144">
        <v>18235</v>
      </c>
      <c r="AD144">
        <v>0.47</v>
      </c>
      <c r="AE144" s="1">
        <v>0.55413574106664598</v>
      </c>
    </row>
    <row r="145" spans="1:31" x14ac:dyDescent="0.25">
      <c r="A145">
        <v>11972</v>
      </c>
      <c r="B145">
        <v>4125</v>
      </c>
      <c r="C145">
        <v>1245</v>
      </c>
      <c r="D145">
        <v>16</v>
      </c>
      <c r="E145">
        <v>495</v>
      </c>
      <c r="F145">
        <v>12091</v>
      </c>
      <c r="G145">
        <v>12.83</v>
      </c>
      <c r="H145">
        <v>18.309999999999999</v>
      </c>
      <c r="I145">
        <v>3.87</v>
      </c>
      <c r="J145">
        <v>0.03</v>
      </c>
      <c r="K145">
        <v>1.02</v>
      </c>
      <c r="L145">
        <v>25.04</v>
      </c>
      <c r="M145">
        <v>12.82</v>
      </c>
      <c r="N145">
        <v>12.38</v>
      </c>
      <c r="O145">
        <v>9.84</v>
      </c>
      <c r="P145">
        <v>10.89</v>
      </c>
      <c r="Q145">
        <v>24.86</v>
      </c>
      <c r="R145">
        <v>33.39</v>
      </c>
      <c r="S145">
        <v>37.76</v>
      </c>
      <c r="T145">
        <v>2083</v>
      </c>
      <c r="U145">
        <v>1904</v>
      </c>
      <c r="V145">
        <v>1168</v>
      </c>
      <c r="W145">
        <v>159</v>
      </c>
      <c r="X145">
        <v>8583</v>
      </c>
      <c r="Y145">
        <v>1102</v>
      </c>
      <c r="Z145">
        <v>5105</v>
      </c>
      <c r="AA145">
        <v>3410</v>
      </c>
      <c r="AB145">
        <v>13.871</v>
      </c>
      <c r="AC145">
        <v>18200</v>
      </c>
      <c r="AD145">
        <v>0.47</v>
      </c>
      <c r="AE145" s="1">
        <v>0.55444180886066197</v>
      </c>
    </row>
    <row r="146" spans="1:31" x14ac:dyDescent="0.25">
      <c r="A146">
        <v>12068</v>
      </c>
      <c r="B146">
        <v>4077</v>
      </c>
      <c r="C146">
        <v>1194</v>
      </c>
      <c r="D146">
        <v>4</v>
      </c>
      <c r="E146">
        <v>729</v>
      </c>
      <c r="F146">
        <v>12190</v>
      </c>
      <c r="G146">
        <v>12.93</v>
      </c>
      <c r="H146">
        <v>18.09</v>
      </c>
      <c r="I146">
        <v>3.71</v>
      </c>
      <c r="J146">
        <v>0.01</v>
      </c>
      <c r="K146">
        <v>1.51</v>
      </c>
      <c r="L146">
        <v>25.25</v>
      </c>
      <c r="M146">
        <v>12.67</v>
      </c>
      <c r="N146">
        <v>11.87</v>
      </c>
      <c r="O146">
        <v>9.85</v>
      </c>
      <c r="P146">
        <v>10.95</v>
      </c>
      <c r="Q146">
        <v>24.83</v>
      </c>
      <c r="R146">
        <v>33.659999999999997</v>
      </c>
      <c r="S146">
        <v>37.869999999999997</v>
      </c>
      <c r="T146">
        <v>2078</v>
      </c>
      <c r="U146">
        <v>1904</v>
      </c>
      <c r="V146">
        <v>1178</v>
      </c>
      <c r="W146">
        <v>157</v>
      </c>
      <c r="X146">
        <v>8595</v>
      </c>
      <c r="Y146">
        <v>1102</v>
      </c>
      <c r="Z146">
        <v>5087</v>
      </c>
      <c r="AA146">
        <v>3411</v>
      </c>
      <c r="AB146">
        <v>13.868</v>
      </c>
      <c r="AC146">
        <v>18195</v>
      </c>
      <c r="AD146">
        <v>0.47</v>
      </c>
      <c r="AE146" s="1">
        <v>0.55513046139719902</v>
      </c>
    </row>
    <row r="147" spans="1:31" x14ac:dyDescent="0.25">
      <c r="A147">
        <v>9166</v>
      </c>
      <c r="B147">
        <v>4078</v>
      </c>
      <c r="C147">
        <v>1246</v>
      </c>
      <c r="D147">
        <v>1</v>
      </c>
      <c r="E147">
        <v>495</v>
      </c>
      <c r="F147">
        <v>12175</v>
      </c>
      <c r="G147">
        <v>9.82</v>
      </c>
      <c r="H147">
        <v>18.100000000000001</v>
      </c>
      <c r="I147">
        <v>3.87</v>
      </c>
      <c r="J147">
        <v>0</v>
      </c>
      <c r="K147">
        <v>1.02</v>
      </c>
      <c r="L147">
        <v>25.22</v>
      </c>
      <c r="M147">
        <v>12.67</v>
      </c>
      <c r="N147">
        <v>12.39</v>
      </c>
      <c r="O147">
        <v>10.44</v>
      </c>
      <c r="P147">
        <v>8.27</v>
      </c>
      <c r="Q147">
        <v>24.82</v>
      </c>
      <c r="R147">
        <v>33.619999999999997</v>
      </c>
      <c r="S147">
        <v>37.340000000000003</v>
      </c>
      <c r="T147">
        <v>2077</v>
      </c>
      <c r="U147">
        <v>1904</v>
      </c>
      <c r="V147">
        <v>1177</v>
      </c>
      <c r="W147">
        <v>342</v>
      </c>
      <c r="X147">
        <v>8731</v>
      </c>
      <c r="Y147">
        <v>1041</v>
      </c>
      <c r="Z147">
        <v>5105</v>
      </c>
      <c r="AA147">
        <v>2975</v>
      </c>
      <c r="AB147">
        <v>14.885</v>
      </c>
      <c r="AC147">
        <v>17852</v>
      </c>
      <c r="AD147">
        <v>0.42</v>
      </c>
      <c r="AE147" s="1">
        <v>0.55551304613971997</v>
      </c>
    </row>
    <row r="148" spans="1:31" x14ac:dyDescent="0.25">
      <c r="A148">
        <v>13930</v>
      </c>
      <c r="B148">
        <v>4237</v>
      </c>
      <c r="C148">
        <v>1191</v>
      </c>
      <c r="D148">
        <v>0</v>
      </c>
      <c r="E148">
        <v>468</v>
      </c>
      <c r="F148">
        <v>12227</v>
      </c>
      <c r="G148">
        <v>14.92</v>
      </c>
      <c r="H148">
        <v>18.8</v>
      </c>
      <c r="I148">
        <v>3.7</v>
      </c>
      <c r="J148">
        <v>0</v>
      </c>
      <c r="K148">
        <v>0.97</v>
      </c>
      <c r="L148">
        <v>25.33</v>
      </c>
      <c r="M148">
        <v>13.16</v>
      </c>
      <c r="N148">
        <v>11.84</v>
      </c>
      <c r="O148">
        <v>9.27</v>
      </c>
      <c r="P148">
        <v>13.08</v>
      </c>
      <c r="Q148">
        <v>24.82</v>
      </c>
      <c r="R148">
        <v>33.770000000000003</v>
      </c>
      <c r="S148">
        <v>38.69</v>
      </c>
      <c r="T148">
        <v>2077</v>
      </c>
      <c r="U148">
        <v>1904</v>
      </c>
      <c r="V148">
        <v>1182</v>
      </c>
      <c r="W148">
        <v>0</v>
      </c>
      <c r="X148">
        <v>8510</v>
      </c>
      <c r="Y148">
        <v>1154</v>
      </c>
      <c r="Z148">
        <v>5086</v>
      </c>
      <c r="AA148">
        <v>3735</v>
      </c>
      <c r="AB148">
        <v>13.097</v>
      </c>
      <c r="AC148">
        <v>18485</v>
      </c>
      <c r="AD148">
        <v>0.51</v>
      </c>
      <c r="AE148" s="1">
        <v>0.55689035121279296</v>
      </c>
    </row>
    <row r="149" spans="1:31" x14ac:dyDescent="0.25">
      <c r="A149">
        <v>10016</v>
      </c>
      <c r="B149">
        <v>4078</v>
      </c>
      <c r="C149">
        <v>1246</v>
      </c>
      <c r="D149">
        <v>12</v>
      </c>
      <c r="E149">
        <v>690</v>
      </c>
      <c r="F149">
        <v>11969</v>
      </c>
      <c r="G149">
        <v>10.73</v>
      </c>
      <c r="H149">
        <v>18.100000000000001</v>
      </c>
      <c r="I149">
        <v>3.87</v>
      </c>
      <c r="J149">
        <v>0.02</v>
      </c>
      <c r="K149">
        <v>1.43</v>
      </c>
      <c r="L149">
        <v>24.79</v>
      </c>
      <c r="M149">
        <v>12.67</v>
      </c>
      <c r="N149">
        <v>12.39</v>
      </c>
      <c r="O149">
        <v>10.27</v>
      </c>
      <c r="P149">
        <v>9.01</v>
      </c>
      <c r="Q149">
        <v>24.85</v>
      </c>
      <c r="R149">
        <v>33.049999999999997</v>
      </c>
      <c r="S149">
        <v>37.79</v>
      </c>
      <c r="T149">
        <v>2081</v>
      </c>
      <c r="U149">
        <v>1904</v>
      </c>
      <c r="V149">
        <v>1157</v>
      </c>
      <c r="W149">
        <v>290</v>
      </c>
      <c r="X149">
        <v>8703</v>
      </c>
      <c r="Y149">
        <v>1058</v>
      </c>
      <c r="Z149">
        <v>5105</v>
      </c>
      <c r="AA149">
        <v>3102</v>
      </c>
      <c r="AB149" s="9">
        <v>14.67</v>
      </c>
      <c r="AC149" s="9">
        <v>17968</v>
      </c>
      <c r="AD149" s="9">
        <v>0.44</v>
      </c>
      <c r="AE149" s="1">
        <v>0.55788507154334599</v>
      </c>
    </row>
    <row r="150" spans="1:31" x14ac:dyDescent="0.25">
      <c r="A150">
        <v>7935</v>
      </c>
      <c r="B150">
        <v>4013</v>
      </c>
      <c r="C150">
        <v>1237</v>
      </c>
      <c r="D150">
        <v>12</v>
      </c>
      <c r="E150">
        <v>799</v>
      </c>
      <c r="F150">
        <v>11997</v>
      </c>
      <c r="G150">
        <v>8.5</v>
      </c>
      <c r="H150">
        <v>17.809999999999999</v>
      </c>
      <c r="I150">
        <v>3.84</v>
      </c>
      <c r="J150">
        <v>0.02</v>
      </c>
      <c r="K150">
        <v>1.66</v>
      </c>
      <c r="L150">
        <v>24.85</v>
      </c>
      <c r="M150">
        <v>12.47</v>
      </c>
      <c r="N150">
        <v>12.3</v>
      </c>
      <c r="O150">
        <v>10.85</v>
      </c>
      <c r="P150">
        <v>7.1</v>
      </c>
      <c r="Q150">
        <v>24.85</v>
      </c>
      <c r="R150">
        <v>33.130000000000003</v>
      </c>
      <c r="S150">
        <v>37.47</v>
      </c>
      <c r="T150">
        <v>2081</v>
      </c>
      <c r="U150">
        <v>1904</v>
      </c>
      <c r="V150">
        <v>1159</v>
      </c>
      <c r="W150">
        <v>432</v>
      </c>
      <c r="X150">
        <v>8820</v>
      </c>
      <c r="Y150">
        <v>1011</v>
      </c>
      <c r="Z150">
        <v>5102</v>
      </c>
      <c r="AA150">
        <v>2771</v>
      </c>
      <c r="AB150">
        <v>15.464</v>
      </c>
      <c r="AC150">
        <v>17704</v>
      </c>
      <c r="AD150">
        <v>0.41</v>
      </c>
      <c r="AE150" s="1">
        <v>0.55987451220445295</v>
      </c>
    </row>
    <row r="151" spans="1:31" x14ac:dyDescent="0.25">
      <c r="A151">
        <v>9248</v>
      </c>
      <c r="B151">
        <v>3898</v>
      </c>
      <c r="C151">
        <v>1283</v>
      </c>
      <c r="D151">
        <v>0</v>
      </c>
      <c r="E151">
        <v>1276</v>
      </c>
      <c r="F151">
        <v>11487</v>
      </c>
      <c r="G151">
        <v>9.91</v>
      </c>
      <c r="H151">
        <v>17.3</v>
      </c>
      <c r="I151">
        <v>3.98</v>
      </c>
      <c r="J151">
        <v>0</v>
      </c>
      <c r="K151">
        <v>2.64</v>
      </c>
      <c r="L151">
        <v>23.79</v>
      </c>
      <c r="M151">
        <v>12.11</v>
      </c>
      <c r="N151">
        <v>12.75</v>
      </c>
      <c r="O151">
        <v>10.9</v>
      </c>
      <c r="P151">
        <v>7.9</v>
      </c>
      <c r="Q151">
        <v>24.82</v>
      </c>
      <c r="R151">
        <v>31.73</v>
      </c>
      <c r="S151">
        <v>37.54</v>
      </c>
      <c r="T151">
        <v>2077</v>
      </c>
      <c r="U151">
        <v>1904</v>
      </c>
      <c r="V151">
        <v>1110</v>
      </c>
      <c r="W151">
        <v>394</v>
      </c>
      <c r="X151">
        <v>8734</v>
      </c>
      <c r="Y151">
        <v>1024</v>
      </c>
      <c r="Z151">
        <v>5118</v>
      </c>
      <c r="AA151">
        <v>2936</v>
      </c>
      <c r="AB151">
        <v>15.21</v>
      </c>
      <c r="AC151">
        <v>17812</v>
      </c>
      <c r="AD151">
        <v>0.43</v>
      </c>
      <c r="AE151" s="1">
        <v>0.56056316474098999</v>
      </c>
    </row>
    <row r="152" spans="1:31" x14ac:dyDescent="0.25">
      <c r="A152">
        <v>14042</v>
      </c>
      <c r="B152">
        <v>4387</v>
      </c>
      <c r="C152">
        <v>1163</v>
      </c>
      <c r="D152">
        <v>3</v>
      </c>
      <c r="E152">
        <v>362</v>
      </c>
      <c r="F152">
        <v>12241</v>
      </c>
      <c r="G152">
        <v>15.04</v>
      </c>
      <c r="H152">
        <v>19.47</v>
      </c>
      <c r="I152">
        <v>3.61</v>
      </c>
      <c r="J152">
        <v>0.01</v>
      </c>
      <c r="K152">
        <v>0.75</v>
      </c>
      <c r="L152">
        <v>25.36</v>
      </c>
      <c r="M152">
        <v>13.63</v>
      </c>
      <c r="N152">
        <v>11.56</v>
      </c>
      <c r="O152">
        <v>8.93</v>
      </c>
      <c r="P152">
        <v>13.61</v>
      </c>
      <c r="Q152">
        <v>24.83</v>
      </c>
      <c r="R152">
        <v>33.81</v>
      </c>
      <c r="S152">
        <v>39.78</v>
      </c>
      <c r="T152">
        <v>2078</v>
      </c>
      <c r="U152">
        <v>1904</v>
      </c>
      <c r="V152">
        <v>1183</v>
      </c>
      <c r="W152">
        <v>-54</v>
      </c>
      <c r="X152">
        <v>8552</v>
      </c>
      <c r="Y152">
        <v>1172</v>
      </c>
      <c r="Z152">
        <v>5078</v>
      </c>
      <c r="AA152">
        <v>3796</v>
      </c>
      <c r="AB152">
        <v>13.019</v>
      </c>
      <c r="AC152">
        <v>18598</v>
      </c>
      <c r="AD152">
        <v>0.51</v>
      </c>
      <c r="AE152" s="1">
        <v>0.562705639299104</v>
      </c>
    </row>
    <row r="153" spans="1:31" x14ac:dyDescent="0.25">
      <c r="A153">
        <v>7935</v>
      </c>
      <c r="B153">
        <v>4212</v>
      </c>
      <c r="C153">
        <v>1237</v>
      </c>
      <c r="D153">
        <v>12</v>
      </c>
      <c r="E153">
        <v>433</v>
      </c>
      <c r="F153">
        <v>12065</v>
      </c>
      <c r="G153">
        <v>8.5</v>
      </c>
      <c r="H153">
        <v>18.7</v>
      </c>
      <c r="I153">
        <v>3.84</v>
      </c>
      <c r="J153">
        <v>0.02</v>
      </c>
      <c r="K153">
        <v>0.9</v>
      </c>
      <c r="L153">
        <v>24.99</v>
      </c>
      <c r="M153">
        <v>13.09</v>
      </c>
      <c r="N153">
        <v>12.3</v>
      </c>
      <c r="O153">
        <v>10.39</v>
      </c>
      <c r="P153">
        <v>7.53</v>
      </c>
      <c r="Q153">
        <v>24.85</v>
      </c>
      <c r="R153">
        <v>33.32</v>
      </c>
      <c r="S153">
        <v>38.39</v>
      </c>
      <c r="T153">
        <v>2081</v>
      </c>
      <c r="U153">
        <v>1904</v>
      </c>
      <c r="V153">
        <v>1166</v>
      </c>
      <c r="W153">
        <v>377</v>
      </c>
      <c r="X153">
        <v>8850</v>
      </c>
      <c r="Y153">
        <v>1030</v>
      </c>
      <c r="Z153">
        <v>5102</v>
      </c>
      <c r="AA153">
        <v>2827</v>
      </c>
      <c r="AB153">
        <v>15.347</v>
      </c>
      <c r="AC153">
        <v>17809</v>
      </c>
      <c r="AD153">
        <v>0.41</v>
      </c>
      <c r="AE153" s="1">
        <v>0.56339429183564105</v>
      </c>
    </row>
    <row r="154" spans="1:31" x14ac:dyDescent="0.25">
      <c r="A154">
        <v>12815</v>
      </c>
      <c r="B154">
        <v>4387</v>
      </c>
      <c r="C154">
        <v>1163</v>
      </c>
      <c r="D154">
        <v>3</v>
      </c>
      <c r="E154">
        <v>359</v>
      </c>
      <c r="F154">
        <v>12245</v>
      </c>
      <c r="G154">
        <v>13.73</v>
      </c>
      <c r="H154">
        <v>19.47</v>
      </c>
      <c r="I154">
        <v>3.61</v>
      </c>
      <c r="J154">
        <v>0.01</v>
      </c>
      <c r="K154">
        <v>0.74</v>
      </c>
      <c r="L154">
        <v>25.36</v>
      </c>
      <c r="M154">
        <v>13.63</v>
      </c>
      <c r="N154">
        <v>11.56</v>
      </c>
      <c r="O154">
        <v>9.08</v>
      </c>
      <c r="P154">
        <v>12.45</v>
      </c>
      <c r="Q154">
        <v>24.83</v>
      </c>
      <c r="R154">
        <v>33.82</v>
      </c>
      <c r="S154">
        <v>39.770000000000003</v>
      </c>
      <c r="T154">
        <v>2078</v>
      </c>
      <c r="U154">
        <v>1904</v>
      </c>
      <c r="V154">
        <v>1183</v>
      </c>
      <c r="W154">
        <v>20</v>
      </c>
      <c r="X154">
        <v>8626</v>
      </c>
      <c r="Y154">
        <v>1147</v>
      </c>
      <c r="Z154">
        <v>5078</v>
      </c>
      <c r="AA154">
        <v>3611</v>
      </c>
      <c r="AB154">
        <v>13.471</v>
      </c>
      <c r="AC154">
        <v>18462</v>
      </c>
      <c r="AD154">
        <v>0.49</v>
      </c>
      <c r="AE154" s="1">
        <v>0.563776876578162</v>
      </c>
    </row>
    <row r="155" spans="1:31" x14ac:dyDescent="0.25">
      <c r="A155">
        <v>6109</v>
      </c>
      <c r="B155">
        <v>4247</v>
      </c>
      <c r="C155">
        <v>1188</v>
      </c>
      <c r="D155">
        <v>1</v>
      </c>
      <c r="E155">
        <v>502</v>
      </c>
      <c r="F155">
        <v>12191</v>
      </c>
      <c r="G155">
        <v>6.54</v>
      </c>
      <c r="H155">
        <v>18.850000000000001</v>
      </c>
      <c r="I155">
        <v>3.69</v>
      </c>
      <c r="J155">
        <v>0</v>
      </c>
      <c r="K155">
        <v>1.04</v>
      </c>
      <c r="L155">
        <v>25.25</v>
      </c>
      <c r="M155">
        <v>13.19</v>
      </c>
      <c r="N155">
        <v>11.81</v>
      </c>
      <c r="O155">
        <v>10.74</v>
      </c>
      <c r="P155">
        <v>6.22</v>
      </c>
      <c r="Q155">
        <v>24.82</v>
      </c>
      <c r="R155">
        <v>33.67</v>
      </c>
      <c r="S155">
        <v>38.85</v>
      </c>
      <c r="T155">
        <v>2077</v>
      </c>
      <c r="U155">
        <v>1904</v>
      </c>
      <c r="V155">
        <v>1178</v>
      </c>
      <c r="W155">
        <v>468</v>
      </c>
      <c r="X155">
        <v>8989</v>
      </c>
      <c r="Y155">
        <v>999</v>
      </c>
      <c r="Z155">
        <v>5086</v>
      </c>
      <c r="AA155">
        <v>2563</v>
      </c>
      <c r="AB155">
        <v>16.004000000000001</v>
      </c>
      <c r="AC155">
        <v>17637</v>
      </c>
      <c r="AD155">
        <v>0.38</v>
      </c>
      <c r="AE155" s="1">
        <v>0.56936261381896003</v>
      </c>
    </row>
    <row r="156" spans="1:31" x14ac:dyDescent="0.25">
      <c r="A156">
        <v>14934</v>
      </c>
      <c r="B156">
        <v>4671</v>
      </c>
      <c r="C156">
        <v>1048</v>
      </c>
      <c r="D156">
        <v>1</v>
      </c>
      <c r="E156">
        <v>489</v>
      </c>
      <c r="F156">
        <v>12239</v>
      </c>
      <c r="G156">
        <v>16</v>
      </c>
      <c r="H156">
        <v>20.73</v>
      </c>
      <c r="I156">
        <v>3.26</v>
      </c>
      <c r="J156">
        <v>0</v>
      </c>
      <c r="K156">
        <v>1.01</v>
      </c>
      <c r="L156">
        <v>25.35</v>
      </c>
      <c r="M156">
        <v>14.51</v>
      </c>
      <c r="N156">
        <v>10.42</v>
      </c>
      <c r="O156">
        <v>8.18</v>
      </c>
      <c r="P156">
        <v>15.43</v>
      </c>
      <c r="Q156">
        <v>24.82</v>
      </c>
      <c r="R156">
        <v>33.799999999999997</v>
      </c>
      <c r="S156">
        <v>42.59</v>
      </c>
      <c r="T156">
        <v>2077</v>
      </c>
      <c r="U156">
        <v>1904</v>
      </c>
      <c r="V156">
        <v>1183</v>
      </c>
      <c r="W156">
        <v>-209</v>
      </c>
      <c r="X156">
        <v>8638</v>
      </c>
      <c r="Y156">
        <v>1222</v>
      </c>
      <c r="Z156">
        <v>5040</v>
      </c>
      <c r="AA156">
        <v>4011</v>
      </c>
      <c r="AB156">
        <v>12.704000000000001</v>
      </c>
      <c r="AC156">
        <v>18911</v>
      </c>
      <c r="AD156">
        <v>0.53</v>
      </c>
      <c r="AE156" s="1">
        <v>0.57839161374244397</v>
      </c>
    </row>
    <row r="157" spans="1:31" x14ac:dyDescent="0.25">
      <c r="A157">
        <v>14912</v>
      </c>
      <c r="B157">
        <v>5054</v>
      </c>
      <c r="C157">
        <v>967</v>
      </c>
      <c r="D157">
        <v>2</v>
      </c>
      <c r="E157">
        <v>334</v>
      </c>
      <c r="F157">
        <v>12207</v>
      </c>
      <c r="G157">
        <v>15.98</v>
      </c>
      <c r="H157">
        <v>22.43</v>
      </c>
      <c r="I157">
        <v>3.01</v>
      </c>
      <c r="J157">
        <v>0</v>
      </c>
      <c r="K157">
        <v>0.69</v>
      </c>
      <c r="L157">
        <v>25.28</v>
      </c>
      <c r="M157">
        <v>15.7</v>
      </c>
      <c r="N157">
        <v>9.6199999999999992</v>
      </c>
      <c r="O157">
        <v>7.49</v>
      </c>
      <c r="P157">
        <v>16.68</v>
      </c>
      <c r="Q157">
        <v>24.82</v>
      </c>
      <c r="R157">
        <v>33.71</v>
      </c>
      <c r="S157">
        <v>45.63</v>
      </c>
      <c r="T157">
        <v>2077</v>
      </c>
      <c r="U157">
        <v>1904</v>
      </c>
      <c r="V157">
        <v>1180</v>
      </c>
      <c r="W157">
        <v>-330</v>
      </c>
      <c r="X157">
        <v>8776</v>
      </c>
      <c r="Y157">
        <v>1262</v>
      </c>
      <c r="Z157">
        <v>5013</v>
      </c>
      <c r="AA157">
        <v>4116</v>
      </c>
      <c r="AB157">
        <v>12.661</v>
      </c>
      <c r="AC157">
        <v>19167</v>
      </c>
      <c r="AD157">
        <v>0.55000000000000004</v>
      </c>
      <c r="AE157" s="1">
        <v>0.59637309664090599</v>
      </c>
    </row>
    <row r="158" spans="1:31" x14ac:dyDescent="0.25">
      <c r="A158">
        <v>14971</v>
      </c>
      <c r="B158">
        <v>5498</v>
      </c>
      <c r="C158">
        <v>808</v>
      </c>
      <c r="D158">
        <v>17</v>
      </c>
      <c r="E158">
        <v>438</v>
      </c>
      <c r="F158">
        <v>12186</v>
      </c>
      <c r="G158">
        <v>16.04</v>
      </c>
      <c r="H158">
        <v>24.4</v>
      </c>
      <c r="I158">
        <v>2.5099999999999998</v>
      </c>
      <c r="J158">
        <v>0.03</v>
      </c>
      <c r="K158">
        <v>0.91</v>
      </c>
      <c r="L158">
        <v>25.24</v>
      </c>
      <c r="M158">
        <v>17.079999999999998</v>
      </c>
      <c r="N158">
        <v>8.0399999999999991</v>
      </c>
      <c r="O158">
        <v>6.76</v>
      </c>
      <c r="P158">
        <v>18.47</v>
      </c>
      <c r="Q158">
        <v>24.86</v>
      </c>
      <c r="R158">
        <v>33.659999999999997</v>
      </c>
      <c r="S158">
        <v>49.81</v>
      </c>
      <c r="T158">
        <v>2083</v>
      </c>
      <c r="U158">
        <v>1904</v>
      </c>
      <c r="V158">
        <v>1178</v>
      </c>
      <c r="W158">
        <v>-488</v>
      </c>
      <c r="X158">
        <v>8981</v>
      </c>
      <c r="Y158">
        <v>1313</v>
      </c>
      <c r="Z158">
        <v>4961</v>
      </c>
      <c r="AA158">
        <v>4252</v>
      </c>
      <c r="AB158">
        <v>12.651999999999999</v>
      </c>
      <c r="AC158">
        <v>19507</v>
      </c>
      <c r="AD158">
        <v>0.56999999999999995</v>
      </c>
      <c r="AE158" s="1">
        <v>0.62307751166883396</v>
      </c>
    </row>
    <row r="159" spans="1:31" x14ac:dyDescent="0.25">
      <c r="A159">
        <v>14953</v>
      </c>
      <c r="B159">
        <v>6187</v>
      </c>
      <c r="C159">
        <v>575</v>
      </c>
      <c r="D159">
        <v>9</v>
      </c>
      <c r="E159">
        <v>472</v>
      </c>
      <c r="F159">
        <v>12248</v>
      </c>
      <c r="G159">
        <v>16.02</v>
      </c>
      <c r="H159">
        <v>27.46</v>
      </c>
      <c r="I159">
        <v>1.79</v>
      </c>
      <c r="J159">
        <v>0.02</v>
      </c>
      <c r="K159">
        <v>0.98</v>
      </c>
      <c r="L159">
        <v>25.37</v>
      </c>
      <c r="M159">
        <v>19.22</v>
      </c>
      <c r="N159">
        <v>5.71</v>
      </c>
      <c r="O159">
        <v>5.91</v>
      </c>
      <c r="P159">
        <v>21.39</v>
      </c>
      <c r="Q159">
        <v>24.84</v>
      </c>
      <c r="R159">
        <v>33.83</v>
      </c>
      <c r="S159">
        <v>56.01</v>
      </c>
      <c r="T159">
        <v>2080</v>
      </c>
      <c r="U159">
        <v>1904</v>
      </c>
      <c r="V159">
        <v>1184</v>
      </c>
      <c r="W159">
        <v>-724</v>
      </c>
      <c r="X159">
        <v>9281</v>
      </c>
      <c r="Y159">
        <v>1389</v>
      </c>
      <c r="Z159">
        <v>4883</v>
      </c>
      <c r="AA159">
        <v>4447</v>
      </c>
      <c r="AB159">
        <v>12.612</v>
      </c>
      <c r="AC159">
        <v>20000</v>
      </c>
      <c r="AD159">
        <v>0.62</v>
      </c>
      <c r="AE159" s="1">
        <v>0.66386104522151601</v>
      </c>
    </row>
    <row r="160" spans="1:31" x14ac:dyDescent="0.25">
      <c r="A160">
        <v>14970</v>
      </c>
      <c r="B160">
        <v>6572</v>
      </c>
      <c r="C160">
        <v>454</v>
      </c>
      <c r="D160">
        <v>6</v>
      </c>
      <c r="E160">
        <v>484</v>
      </c>
      <c r="F160">
        <v>12238</v>
      </c>
      <c r="G160">
        <v>16.04</v>
      </c>
      <c r="H160">
        <v>29.17</v>
      </c>
      <c r="I160">
        <v>1.41</v>
      </c>
      <c r="J160">
        <v>0.01</v>
      </c>
      <c r="K160">
        <v>1</v>
      </c>
      <c r="L160">
        <v>25.35</v>
      </c>
      <c r="M160">
        <v>20.420000000000002</v>
      </c>
      <c r="N160">
        <v>4.5199999999999996</v>
      </c>
      <c r="O160">
        <v>5.57</v>
      </c>
      <c r="P160">
        <v>23.15</v>
      </c>
      <c r="Q160">
        <v>24.83</v>
      </c>
      <c r="R160">
        <v>33.799999999999997</v>
      </c>
      <c r="S160">
        <v>59.46</v>
      </c>
      <c r="T160">
        <v>2079</v>
      </c>
      <c r="U160">
        <v>1904</v>
      </c>
      <c r="V160">
        <v>1183</v>
      </c>
      <c r="W160">
        <v>-856</v>
      </c>
      <c r="X160">
        <v>9444</v>
      </c>
      <c r="Y160">
        <v>1432</v>
      </c>
      <c r="Z160">
        <v>4844</v>
      </c>
      <c r="AA160">
        <v>4559</v>
      </c>
      <c r="AB160">
        <v>12.587999999999999</v>
      </c>
      <c r="AC160">
        <v>20279</v>
      </c>
      <c r="AD160">
        <v>0.65</v>
      </c>
      <c r="AE160" s="1">
        <v>0.68758129925778499</v>
      </c>
    </row>
    <row r="161" spans="1:31" x14ac:dyDescent="0.25">
      <c r="A161">
        <v>14989</v>
      </c>
      <c r="B161">
        <v>6610</v>
      </c>
      <c r="C161">
        <v>443</v>
      </c>
      <c r="D161">
        <v>6</v>
      </c>
      <c r="E161">
        <v>485</v>
      </c>
      <c r="F161">
        <v>12237</v>
      </c>
      <c r="G161">
        <v>16.059999999999999</v>
      </c>
      <c r="H161">
        <v>29.34</v>
      </c>
      <c r="I161">
        <v>1.37</v>
      </c>
      <c r="J161">
        <v>0.01</v>
      </c>
      <c r="K161">
        <v>1</v>
      </c>
      <c r="L161">
        <v>25.35</v>
      </c>
      <c r="M161">
        <v>20.54</v>
      </c>
      <c r="N161">
        <v>4.4000000000000004</v>
      </c>
      <c r="O161">
        <v>5.54</v>
      </c>
      <c r="P161">
        <v>23.34</v>
      </c>
      <c r="Q161">
        <v>24.83</v>
      </c>
      <c r="R161">
        <v>33.799999999999997</v>
      </c>
      <c r="S161">
        <v>59.79</v>
      </c>
      <c r="T161">
        <v>2079</v>
      </c>
      <c r="U161">
        <v>1904</v>
      </c>
      <c r="V161">
        <v>1183</v>
      </c>
      <c r="W161">
        <v>-870</v>
      </c>
      <c r="X161">
        <v>9459</v>
      </c>
      <c r="Y161">
        <v>1436</v>
      </c>
      <c r="Z161">
        <v>4841</v>
      </c>
      <c r="AA161">
        <v>4573</v>
      </c>
      <c r="AB161">
        <v>12.58</v>
      </c>
      <c r="AC161">
        <v>20309</v>
      </c>
      <c r="AD161">
        <v>0.65</v>
      </c>
      <c r="AE161" s="1">
        <v>0.68987680771290805</v>
      </c>
    </row>
    <row r="162" spans="1:31" x14ac:dyDescent="0.25">
      <c r="A162">
        <v>14996</v>
      </c>
      <c r="B162">
        <v>7162</v>
      </c>
      <c r="C162">
        <v>270</v>
      </c>
      <c r="D162">
        <v>13</v>
      </c>
      <c r="E162">
        <v>468</v>
      </c>
      <c r="F162">
        <v>12248</v>
      </c>
      <c r="G162">
        <v>16.07</v>
      </c>
      <c r="H162">
        <v>31.79</v>
      </c>
      <c r="I162">
        <v>0.84</v>
      </c>
      <c r="J162">
        <v>0.03</v>
      </c>
      <c r="K162">
        <v>0.97</v>
      </c>
      <c r="L162">
        <v>25.37</v>
      </c>
      <c r="M162">
        <v>22.25</v>
      </c>
      <c r="N162">
        <v>2.68</v>
      </c>
      <c r="O162">
        <v>5.18</v>
      </c>
      <c r="P162">
        <v>25.97</v>
      </c>
      <c r="Q162">
        <v>24.85</v>
      </c>
      <c r="R162">
        <v>33.83</v>
      </c>
      <c r="S162">
        <v>64.650000000000006</v>
      </c>
      <c r="T162">
        <v>2081</v>
      </c>
      <c r="U162">
        <v>1904</v>
      </c>
      <c r="V162">
        <v>1184</v>
      </c>
      <c r="W162">
        <v>-1058</v>
      </c>
      <c r="X162">
        <v>9693</v>
      </c>
      <c r="Y162">
        <v>1497</v>
      </c>
      <c r="Z162">
        <v>4784</v>
      </c>
      <c r="AA162">
        <v>4732</v>
      </c>
      <c r="AB162">
        <v>12.542999999999999</v>
      </c>
      <c r="AC162">
        <v>20706</v>
      </c>
      <c r="AD162">
        <v>0.71</v>
      </c>
      <c r="AE162" s="1">
        <v>0.72446246843675799</v>
      </c>
    </row>
    <row r="163" spans="1:31" x14ac:dyDescent="0.25">
      <c r="A163">
        <v>14964</v>
      </c>
      <c r="B163">
        <v>7395</v>
      </c>
      <c r="C163">
        <v>196</v>
      </c>
      <c r="D163">
        <v>1</v>
      </c>
      <c r="E163">
        <v>480</v>
      </c>
      <c r="F163">
        <v>12251</v>
      </c>
      <c r="G163">
        <v>16.03</v>
      </c>
      <c r="H163">
        <v>32.82</v>
      </c>
      <c r="I163">
        <v>0.61</v>
      </c>
      <c r="J163">
        <v>0</v>
      </c>
      <c r="K163">
        <v>0.99</v>
      </c>
      <c r="L163">
        <v>25.38</v>
      </c>
      <c r="M163">
        <v>22.98</v>
      </c>
      <c r="N163">
        <v>1.95</v>
      </c>
      <c r="O163">
        <v>5.0599999999999996</v>
      </c>
      <c r="P163">
        <v>27.08</v>
      </c>
      <c r="Q163">
        <v>24.82</v>
      </c>
      <c r="R163">
        <v>33.83</v>
      </c>
      <c r="S163">
        <v>66.75</v>
      </c>
      <c r="T163">
        <v>2077</v>
      </c>
      <c r="U163">
        <v>1904</v>
      </c>
      <c r="V163">
        <v>1184</v>
      </c>
      <c r="W163">
        <v>-1135</v>
      </c>
      <c r="X163">
        <v>9792</v>
      </c>
      <c r="Y163">
        <v>1522</v>
      </c>
      <c r="Z163">
        <v>4759</v>
      </c>
      <c r="AA163">
        <v>4794</v>
      </c>
      <c r="AB163">
        <v>12.54</v>
      </c>
      <c r="AC163">
        <v>20867</v>
      </c>
      <c r="AD163">
        <v>0.73</v>
      </c>
      <c r="AE163" s="1">
        <v>0.73938327339505605</v>
      </c>
    </row>
    <row r="164" spans="1:31" x14ac:dyDescent="0.25">
      <c r="A164">
        <v>14964</v>
      </c>
      <c r="B164">
        <v>7592</v>
      </c>
      <c r="C164">
        <v>136</v>
      </c>
      <c r="D164">
        <v>1</v>
      </c>
      <c r="E164">
        <v>480</v>
      </c>
      <c r="F164">
        <v>12245</v>
      </c>
      <c r="G164">
        <v>16.03</v>
      </c>
      <c r="H164">
        <v>33.700000000000003</v>
      </c>
      <c r="I164">
        <v>0.42</v>
      </c>
      <c r="J164">
        <v>0</v>
      </c>
      <c r="K164">
        <v>0.99</v>
      </c>
      <c r="L164">
        <v>25.36</v>
      </c>
      <c r="M164">
        <v>23.59</v>
      </c>
      <c r="N164">
        <v>1.35</v>
      </c>
      <c r="O164">
        <v>4.97</v>
      </c>
      <c r="P164">
        <v>28.05</v>
      </c>
      <c r="Q164">
        <v>24.82</v>
      </c>
      <c r="R164">
        <v>33.82</v>
      </c>
      <c r="S164">
        <v>68.5</v>
      </c>
      <c r="T164">
        <v>2077</v>
      </c>
      <c r="U164">
        <v>1904</v>
      </c>
      <c r="V164">
        <v>1183</v>
      </c>
      <c r="W164">
        <v>-1201</v>
      </c>
      <c r="X164">
        <v>9875</v>
      </c>
      <c r="Y164">
        <v>1544</v>
      </c>
      <c r="Z164">
        <v>4740</v>
      </c>
      <c r="AA164">
        <v>4850</v>
      </c>
      <c r="AB164">
        <v>12.53</v>
      </c>
      <c r="AC164">
        <v>21009</v>
      </c>
      <c r="AD164">
        <v>0.75</v>
      </c>
      <c r="AE164" s="1">
        <v>0.75208508684673603</v>
      </c>
    </row>
    <row r="165" spans="1:31" x14ac:dyDescent="0.25">
      <c r="A165">
        <v>14996</v>
      </c>
      <c r="B165">
        <v>7776</v>
      </c>
      <c r="C165">
        <v>78</v>
      </c>
      <c r="D165">
        <v>13</v>
      </c>
      <c r="E165">
        <v>468</v>
      </c>
      <c r="F165">
        <v>12248</v>
      </c>
      <c r="G165">
        <v>16.07</v>
      </c>
      <c r="H165">
        <v>34.520000000000003</v>
      </c>
      <c r="I165">
        <v>0.24</v>
      </c>
      <c r="J165">
        <v>0.03</v>
      </c>
      <c r="K165">
        <v>0.97</v>
      </c>
      <c r="L165">
        <v>25.37</v>
      </c>
      <c r="M165">
        <v>24.16</v>
      </c>
      <c r="N165">
        <v>0.77</v>
      </c>
      <c r="O165">
        <v>4.8899999999999997</v>
      </c>
      <c r="P165">
        <v>29.01</v>
      </c>
      <c r="Q165">
        <v>24.85</v>
      </c>
      <c r="R165">
        <v>33.83</v>
      </c>
      <c r="S165">
        <v>70.11</v>
      </c>
      <c r="T165">
        <v>2081</v>
      </c>
      <c r="U165">
        <v>1904</v>
      </c>
      <c r="V165">
        <v>1184</v>
      </c>
      <c r="W165">
        <v>-1266</v>
      </c>
      <c r="X165">
        <v>9954</v>
      </c>
      <c r="Y165">
        <v>1564</v>
      </c>
      <c r="Z165">
        <v>4721</v>
      </c>
      <c r="AA165">
        <v>4907</v>
      </c>
      <c r="AB165">
        <v>12.51</v>
      </c>
      <c r="AC165">
        <v>21146</v>
      </c>
      <c r="AD165">
        <v>0.77</v>
      </c>
      <c r="AE165" s="1">
        <v>0.76402173081337499</v>
      </c>
    </row>
    <row r="206" spans="15:33" x14ac:dyDescent="0.25">
      <c r="O206">
        <f>(3.21+146.46+24.82)/(146.46+24.82+0+44.17)</f>
        <v>0.80988628452077061</v>
      </c>
      <c r="AF206">
        <f t="shared" ref="AF206:AF208" si="0">IF(H206&lt;P206,-1,1)</f>
        <v>1</v>
      </c>
      <c r="AG206">
        <f t="shared" ref="AG206:AG208" si="1">G206+17.95+H206+O206-P206-I206</f>
        <v>18.759886284520771</v>
      </c>
    </row>
    <row r="207" spans="15:33" x14ac:dyDescent="0.25">
      <c r="O207">
        <f>(17.95+16.07)/(146.46+24.82+0+44.17)</f>
        <v>0.15790206544441865</v>
      </c>
      <c r="AF207">
        <f t="shared" si="0"/>
        <v>1</v>
      </c>
      <c r="AG207">
        <f t="shared" si="1"/>
        <v>18.107902065444417</v>
      </c>
    </row>
    <row r="208" spans="15:33" x14ac:dyDescent="0.25">
      <c r="O208">
        <f>(24.82+146.46)/205.29</f>
        <v>0.8343319206975498</v>
      </c>
      <c r="AF208">
        <f t="shared" si="0"/>
        <v>1</v>
      </c>
      <c r="AG208">
        <f t="shared" si="1"/>
        <v>18.78433192069755</v>
      </c>
    </row>
    <row r="211" spans="15:16" x14ac:dyDescent="0.25">
      <c r="O211">
        <f>17.95+16.07+24.82+146.46</f>
        <v>205.3</v>
      </c>
    </row>
    <row r="212" spans="15:16" x14ac:dyDescent="0.25">
      <c r="O212">
        <f>146.46+24.82+0+44.17</f>
        <v>215.45</v>
      </c>
    </row>
    <row r="213" spans="15:16" x14ac:dyDescent="0.25">
      <c r="O213">
        <f>O212-O211</f>
        <v>10.149999999999977</v>
      </c>
    </row>
    <row r="215" spans="15:16" x14ac:dyDescent="0.25">
      <c r="O215">
        <f>17.95+16.07+3.21+73.23-66.29</f>
        <v>44.17</v>
      </c>
      <c r="P215">
        <f>17.95+16.07+3.21</f>
        <v>37.229999999999997</v>
      </c>
    </row>
    <row r="216" spans="15:16" x14ac:dyDescent="0.25">
      <c r="O216">
        <f>73.23-66.29</f>
        <v>6.9399999999999977</v>
      </c>
      <c r="P216">
        <f>44.17-O216+24.82+146.46</f>
        <v>208.51000000000002</v>
      </c>
    </row>
    <row r="217" spans="15:16" x14ac:dyDescent="0.25">
      <c r="O217">
        <f>O216+3.21</f>
        <v>10.149999999999999</v>
      </c>
    </row>
    <row r="219" spans="15:16" x14ac:dyDescent="0.25">
      <c r="O219">
        <f>44.17-(73.23-66.29)+0+24.82+146.46</f>
        <v>208.51000000000002</v>
      </c>
    </row>
  </sheetData>
  <sortState ref="A6:AE165">
    <sortCondition ref="AE6:AE165"/>
  </sortState>
  <mergeCells count="10">
    <mergeCell ref="A1:F2"/>
    <mergeCell ref="G2:I2"/>
    <mergeCell ref="J2:N2"/>
    <mergeCell ref="G1:N1"/>
    <mergeCell ref="AE3:AE4"/>
    <mergeCell ref="AD3:AD4"/>
    <mergeCell ref="O1:P2"/>
    <mergeCell ref="Q1:S2"/>
    <mergeCell ref="AB2:AE2"/>
    <mergeCell ref="T2:AA2"/>
  </mergeCells>
  <conditionalFormatting sqref="AC6:AC165">
    <cfRule type="cellIs" dxfId="4" priority="3" operator="lessThan">
      <formula>$AC$5</formula>
    </cfRule>
  </conditionalFormatting>
  <conditionalFormatting sqref="AD6:AD165">
    <cfRule type="cellIs" dxfId="3" priority="2" operator="lessThan">
      <formula>$AD$5</formula>
    </cfRule>
  </conditionalFormatting>
  <conditionalFormatting sqref="AE6:AE165">
    <cfRule type="cellIs" dxfId="0" priority="1" operator="lessThan">
      <formula>$AE$5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2015-03-06T16:10:42Z</dcterms:modified>
</cp:coreProperties>
</file>