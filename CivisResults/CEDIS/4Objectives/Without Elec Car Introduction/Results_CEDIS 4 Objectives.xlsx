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bub\Documents\GitHub\EnergyPLANDomainKnowledgeEAStep1\CivisResults\CEDIS\4Objectives\Without Elec Car Introduction\"/>
    </mc:Choice>
  </mc:AlternateContent>
  <bookViews>
    <workbookView xWindow="0" yWindow="0" windowWidth="19200" windowHeight="10995"/>
  </bookViews>
  <sheets>
    <sheet name="Sheet4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5" i="4" l="1"/>
  <c r="AC5" i="4"/>
  <c r="AG206" i="4" l="1"/>
  <c r="AG207" i="4"/>
  <c r="AG208" i="4"/>
  <c r="AF206" i="4"/>
  <c r="AF207" i="4"/>
  <c r="AF208" i="4"/>
  <c r="P216" i="4"/>
  <c r="P215" i="4"/>
  <c r="O219" i="4"/>
  <c r="O215" i="4"/>
  <c r="O217" i="4"/>
  <c r="O216" i="4"/>
  <c r="O213" i="4"/>
  <c r="O211" i="4"/>
  <c r="O208" i="4"/>
  <c r="O212" i="4"/>
  <c r="O207" i="4"/>
  <c r="O206" i="4"/>
  <c r="Z5" i="4"/>
  <c r="AD5" i="4" l="1"/>
</calcChain>
</file>

<file path=xl/sharedStrings.xml><?xml version="1.0" encoding="utf-8"?>
<sst xmlns="http://schemas.openxmlformats.org/spreadsheetml/2006/main" count="73" uniqueCount="47">
  <si>
    <t>Cost</t>
  </si>
  <si>
    <t>OilConsumption</t>
  </si>
  <si>
    <t>BiomassConsumption</t>
  </si>
  <si>
    <t>CO2-Emission</t>
  </si>
  <si>
    <t>AnnualCost</t>
  </si>
  <si>
    <t>LoadFollowingCapacity</t>
  </si>
  <si>
    <t>KWe</t>
  </si>
  <si>
    <t>KWth</t>
  </si>
  <si>
    <t>GWh</t>
  </si>
  <si>
    <t>KEuro</t>
  </si>
  <si>
    <t>Mt</t>
  </si>
  <si>
    <t>capacity</t>
  </si>
  <si>
    <t>PV</t>
  </si>
  <si>
    <t>NGas_CHP</t>
  </si>
  <si>
    <t>HP</t>
  </si>
  <si>
    <t>Oil_boiler</t>
  </si>
  <si>
    <t>Ngas_boiler</t>
  </si>
  <si>
    <t>Biomass_boiler</t>
  </si>
  <si>
    <t>CHPelec</t>
  </si>
  <si>
    <t>HPelec</t>
  </si>
  <si>
    <t>electric</t>
  </si>
  <si>
    <t>OilBoiler</t>
  </si>
  <si>
    <t>NGasBoiler</t>
  </si>
  <si>
    <t>BiomassBoiler</t>
  </si>
  <si>
    <t>nGasCHP</t>
  </si>
  <si>
    <t>heat</t>
  </si>
  <si>
    <t>Annual Production</t>
  </si>
  <si>
    <t>Import</t>
  </si>
  <si>
    <t>Export</t>
  </si>
  <si>
    <t>Diesel</t>
  </si>
  <si>
    <t>Petrol</t>
  </si>
  <si>
    <t>Biomass</t>
  </si>
  <si>
    <t>ElectricityExchange</t>
  </si>
  <si>
    <t>Variable</t>
  </si>
  <si>
    <t>FixedOperation</t>
  </si>
  <si>
    <t>Additional</t>
  </si>
  <si>
    <t>Investment</t>
  </si>
  <si>
    <t>Objectives</t>
  </si>
  <si>
    <t>ESD</t>
  </si>
  <si>
    <t>NGasConsumption</t>
  </si>
  <si>
    <t>Import &amp; Export</t>
  </si>
  <si>
    <t>Fuel Consumption</t>
  </si>
  <si>
    <t>oilBoilerFuelDemand</t>
  </si>
  <si>
    <t>ngasBoilerFuelDemand</t>
  </si>
  <si>
    <t>biomassBoilerFuelDemand</t>
  </si>
  <si>
    <t>AnnualmCHPheat</t>
  </si>
  <si>
    <t>AnnualHPheat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</si>
</sst>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0" fontId="0" fillId="4" borderId="1" xfId="0" applyFill="1" applyBorder="1"/>
    <xf numFmtId="0" fontId="0" fillId="6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0" xfId="0" applyFill="1"/>
    <xf numFmtId="1" fontId="0" fillId="7" borderId="0" xfId="0" applyNumberFormat="1" applyFill="1"/>
    <xf numFmtId="0" fontId="0" fillId="0" borderId="0" xfId="0" applyBorder="1"/>
    <xf numFmtId="2" fontId="0" fillId="7" borderId="0" xfId="0" applyNumberFormat="1" applyFill="1"/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1" fontId="0" fillId="0" borderId="0" xfId="0" applyNumberFormat="1"/>
    <xf numFmtId="0" fontId="0" fillId="0" borderId="5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9"/>
  <sheetViews>
    <sheetView tabSelected="1" workbookViewId="0">
      <pane ySplit="5" topLeftCell="A6" activePane="bottomLeft" state="frozen"/>
      <selection pane="bottomLeft" activeCell="A7" sqref="A7"/>
    </sheetView>
  </sheetViews>
  <sheetFormatPr defaultRowHeight="15" x14ac:dyDescent="0.25"/>
  <cols>
    <col min="1" max="1" width="6" bestFit="1" customWidth="1"/>
    <col min="2" max="2" width="10.140625" bestFit="1" customWidth="1"/>
    <col min="3" max="3" width="5.140625" bestFit="1" customWidth="1"/>
    <col min="4" max="4" width="9.85546875" bestFit="1" customWidth="1"/>
    <col min="5" max="5" width="11.5703125" bestFit="1" customWidth="1"/>
    <col min="6" max="6" width="14.7109375" bestFit="1" customWidth="1"/>
    <col min="10" max="10" width="8.85546875" bestFit="1" customWidth="1"/>
    <col min="11" max="11" width="10.85546875" bestFit="1" customWidth="1"/>
    <col min="12" max="12" width="13.7109375" bestFit="1" customWidth="1"/>
    <col min="13" max="13" width="8.85546875" bestFit="1" customWidth="1"/>
    <col min="15" max="15" width="13.42578125" bestFit="1" customWidth="1"/>
    <col min="17" max="17" width="15.5703125" bestFit="1" customWidth="1"/>
    <col min="18" max="18" width="20.42578125" bestFit="1" customWidth="1"/>
    <col min="19" max="19" width="17.7109375" bestFit="1" customWidth="1"/>
    <col min="20" max="20" width="6.5703125" bestFit="1" customWidth="1"/>
    <col min="21" max="21" width="6.42578125" bestFit="1" customWidth="1"/>
    <col min="22" max="22" width="8.28515625" bestFit="1" customWidth="1"/>
    <col min="23" max="23" width="18.28515625" bestFit="1" customWidth="1"/>
    <col min="24" max="24" width="8.42578125" bestFit="1" customWidth="1"/>
    <col min="25" max="25" width="15" bestFit="1" customWidth="1"/>
    <col min="26" max="26" width="10.28515625" bestFit="1" customWidth="1"/>
    <col min="27" max="27" width="11.140625" bestFit="1" customWidth="1"/>
    <col min="28" max="28" width="13.28515625" bestFit="1" customWidth="1"/>
    <col min="29" max="29" width="11.140625" bestFit="1" customWidth="1"/>
    <col min="30" max="30" width="21.7109375" bestFit="1" customWidth="1"/>
    <col min="32" max="32" width="20.140625" hidden="1" customWidth="1"/>
    <col min="33" max="33" width="22" hidden="1" customWidth="1"/>
    <col min="34" max="34" width="25.28515625" hidden="1" customWidth="1"/>
    <col min="35" max="35" width="16.7109375" hidden="1" customWidth="1"/>
    <col min="36" max="36" width="13.85546875" hidden="1" customWidth="1"/>
  </cols>
  <sheetData>
    <row r="1" spans="1:36" x14ac:dyDescent="0.25">
      <c r="A1" s="11" t="s">
        <v>11</v>
      </c>
      <c r="B1" s="11"/>
      <c r="C1" s="11"/>
      <c r="D1" s="11"/>
      <c r="E1" s="11"/>
      <c r="F1" s="11"/>
      <c r="G1" s="11" t="s">
        <v>26</v>
      </c>
      <c r="H1" s="11"/>
      <c r="I1" s="11"/>
      <c r="J1" s="11"/>
      <c r="K1" s="11"/>
      <c r="L1" s="11"/>
      <c r="M1" s="11"/>
      <c r="N1" s="11"/>
      <c r="O1" s="11" t="s">
        <v>40</v>
      </c>
      <c r="P1" s="11"/>
      <c r="Q1" s="11" t="s">
        <v>41</v>
      </c>
      <c r="R1" s="11"/>
      <c r="S1" s="11"/>
    </row>
    <row r="2" spans="1:36" x14ac:dyDescent="0.25">
      <c r="A2" s="11"/>
      <c r="B2" s="11"/>
      <c r="C2" s="11"/>
      <c r="D2" s="11"/>
      <c r="E2" s="11"/>
      <c r="F2" s="11"/>
      <c r="G2" s="11" t="s">
        <v>20</v>
      </c>
      <c r="H2" s="11"/>
      <c r="I2" s="11"/>
      <c r="J2" s="11" t="s">
        <v>25</v>
      </c>
      <c r="K2" s="11"/>
      <c r="L2" s="11"/>
      <c r="M2" s="11"/>
      <c r="N2" s="11"/>
      <c r="O2" s="14"/>
      <c r="P2" s="14"/>
      <c r="Q2" s="14"/>
      <c r="R2" s="14"/>
      <c r="S2" s="14"/>
      <c r="T2" s="11" t="s">
        <v>0</v>
      </c>
      <c r="U2" s="11"/>
      <c r="V2" s="11"/>
      <c r="W2" s="11"/>
      <c r="X2" s="11"/>
      <c r="Y2" s="11"/>
      <c r="Z2" s="11"/>
      <c r="AA2" s="11"/>
      <c r="AB2" s="14" t="s">
        <v>37</v>
      </c>
      <c r="AC2" s="14"/>
      <c r="AD2" s="14"/>
      <c r="AE2" s="14"/>
    </row>
    <row r="3" spans="1:36" x14ac:dyDescent="0.25">
      <c r="A3" s="2" t="s">
        <v>12</v>
      </c>
      <c r="B3" s="2" t="s">
        <v>13</v>
      </c>
      <c r="C3" s="2" t="s">
        <v>14</v>
      </c>
      <c r="D3" s="3" t="s">
        <v>15</v>
      </c>
      <c r="E3" s="3" t="s">
        <v>16</v>
      </c>
      <c r="F3" s="3" t="s">
        <v>17</v>
      </c>
      <c r="G3" s="2" t="s">
        <v>12</v>
      </c>
      <c r="H3" s="2" t="s">
        <v>18</v>
      </c>
      <c r="I3" s="2" t="s">
        <v>19</v>
      </c>
      <c r="J3" s="4" t="s">
        <v>21</v>
      </c>
      <c r="K3" s="4" t="s">
        <v>22</v>
      </c>
      <c r="L3" s="4" t="s">
        <v>23</v>
      </c>
      <c r="M3" s="4" t="s">
        <v>24</v>
      </c>
      <c r="N3" s="4" t="s">
        <v>14</v>
      </c>
      <c r="O3" s="2" t="s">
        <v>27</v>
      </c>
      <c r="P3" s="2" t="s">
        <v>28</v>
      </c>
      <c r="Q3" s="5" t="s">
        <v>1</v>
      </c>
      <c r="R3" s="5" t="s">
        <v>2</v>
      </c>
      <c r="S3" s="5" t="s">
        <v>39</v>
      </c>
      <c r="T3" s="3" t="s">
        <v>29</v>
      </c>
      <c r="U3" s="3" t="s">
        <v>30</v>
      </c>
      <c r="V3" s="3" t="s">
        <v>31</v>
      </c>
      <c r="W3" s="3" t="s">
        <v>32</v>
      </c>
      <c r="X3" s="3" t="s">
        <v>33</v>
      </c>
      <c r="Y3" s="3" t="s">
        <v>34</v>
      </c>
      <c r="Z3" s="3" t="s">
        <v>35</v>
      </c>
      <c r="AA3" s="3" t="s">
        <v>36</v>
      </c>
      <c r="AB3" s="6" t="s">
        <v>3</v>
      </c>
      <c r="AC3" s="6" t="s">
        <v>4</v>
      </c>
      <c r="AD3" s="12" t="s">
        <v>5</v>
      </c>
      <c r="AE3" s="12" t="s">
        <v>38</v>
      </c>
      <c r="AF3" s="16" t="s">
        <v>42</v>
      </c>
      <c r="AG3" s="11" t="s">
        <v>43</v>
      </c>
      <c r="AH3" s="11" t="s">
        <v>44</v>
      </c>
      <c r="AI3" s="11" t="s">
        <v>45</v>
      </c>
      <c r="AJ3" s="11" t="s">
        <v>46</v>
      </c>
    </row>
    <row r="4" spans="1:36" x14ac:dyDescent="0.25">
      <c r="A4" s="2" t="s">
        <v>6</v>
      </c>
      <c r="B4" s="2" t="s">
        <v>6</v>
      </c>
      <c r="C4" s="2" t="s">
        <v>6</v>
      </c>
      <c r="D4" s="3" t="s">
        <v>7</v>
      </c>
      <c r="E4" s="3" t="s">
        <v>7</v>
      </c>
      <c r="F4" s="3" t="s">
        <v>7</v>
      </c>
      <c r="G4" s="2" t="s">
        <v>8</v>
      </c>
      <c r="H4" s="2" t="s">
        <v>8</v>
      </c>
      <c r="I4" s="2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2" t="s">
        <v>8</v>
      </c>
      <c r="P4" s="2" t="s">
        <v>8</v>
      </c>
      <c r="Q4" s="5" t="s">
        <v>8</v>
      </c>
      <c r="R4" s="5" t="s">
        <v>8</v>
      </c>
      <c r="S4" s="5" t="s">
        <v>8</v>
      </c>
      <c r="T4" s="3" t="s">
        <v>9</v>
      </c>
      <c r="U4" s="3" t="s">
        <v>9</v>
      </c>
      <c r="V4" s="3" t="s">
        <v>9</v>
      </c>
      <c r="W4" s="3" t="s">
        <v>9</v>
      </c>
      <c r="X4" s="3" t="s">
        <v>9</v>
      </c>
      <c r="Y4" s="3" t="s">
        <v>9</v>
      </c>
      <c r="Z4" s="3" t="s">
        <v>9</v>
      </c>
      <c r="AA4" s="3" t="s">
        <v>9</v>
      </c>
      <c r="AB4" s="6" t="s">
        <v>10</v>
      </c>
      <c r="AC4" s="6" t="s">
        <v>9</v>
      </c>
      <c r="AD4" s="13"/>
      <c r="AE4" s="13"/>
      <c r="AF4" s="16"/>
      <c r="AG4" s="11"/>
      <c r="AH4" s="11"/>
      <c r="AI4" s="11"/>
      <c r="AJ4" s="11"/>
    </row>
    <row r="5" spans="1:36" x14ac:dyDescent="0.25">
      <c r="A5" s="7">
        <v>5565</v>
      </c>
      <c r="B5" s="7">
        <v>0</v>
      </c>
      <c r="C5" s="7">
        <v>0</v>
      </c>
      <c r="D5" s="7">
        <v>3688</v>
      </c>
      <c r="E5" s="7">
        <v>13175</v>
      </c>
      <c r="F5" s="7">
        <v>7903</v>
      </c>
      <c r="G5" s="7">
        <v>5.96</v>
      </c>
      <c r="H5" s="7">
        <v>0</v>
      </c>
      <c r="I5" s="7">
        <v>0</v>
      </c>
      <c r="J5" s="7">
        <v>7.64</v>
      </c>
      <c r="K5" s="7">
        <v>27.29</v>
      </c>
      <c r="L5" s="7">
        <v>16.37</v>
      </c>
      <c r="M5" s="7">
        <v>0</v>
      </c>
      <c r="N5" s="7">
        <v>0</v>
      </c>
      <c r="O5" s="7">
        <v>22.51</v>
      </c>
      <c r="P5" s="7">
        <v>2.25</v>
      </c>
      <c r="Q5" s="7">
        <v>34.369999999999997</v>
      </c>
      <c r="R5" s="7">
        <v>21.83</v>
      </c>
      <c r="S5" s="7">
        <v>30.32</v>
      </c>
      <c r="T5" s="7">
        <v>3461</v>
      </c>
      <c r="U5" s="7">
        <v>1904</v>
      </c>
      <c r="V5" s="7">
        <v>764</v>
      </c>
      <c r="W5" s="7">
        <v>1450</v>
      </c>
      <c r="X5" s="7">
        <v>10208</v>
      </c>
      <c r="Y5" s="7">
        <v>653</v>
      </c>
      <c r="Z5" s="8">
        <f>(17.95+5.96+O5-P5)*106.27</f>
        <v>4693.9458999999997</v>
      </c>
      <c r="AA5" s="7">
        <v>0</v>
      </c>
      <c r="AB5" s="7">
        <v>22.2</v>
      </c>
      <c r="AC5" s="8">
        <f>X5+Y5+Z5+AA5</f>
        <v>15554.945899999999</v>
      </c>
      <c r="AD5" s="10">
        <f>(O5+P5)/44.17</f>
        <v>0.56056146705908994</v>
      </c>
      <c r="AE5" s="10">
        <f>(O5+S5+Q5)/(44.17+9.55+30.32+21.83+24.82)</f>
        <v>0.66722779095569662</v>
      </c>
    </row>
    <row r="6" spans="1:36" x14ac:dyDescent="0.25">
      <c r="A6">
        <v>6448</v>
      </c>
      <c r="B6">
        <v>4477</v>
      </c>
      <c r="C6">
        <v>1254</v>
      </c>
      <c r="D6">
        <v>0</v>
      </c>
      <c r="E6">
        <v>38</v>
      </c>
      <c r="F6">
        <v>11993</v>
      </c>
      <c r="G6">
        <v>6.91</v>
      </c>
      <c r="H6">
        <v>19.87</v>
      </c>
      <c r="I6">
        <v>3.9</v>
      </c>
      <c r="J6">
        <v>0</v>
      </c>
      <c r="K6">
        <v>0.08</v>
      </c>
      <c r="L6">
        <v>24.84</v>
      </c>
      <c r="M6">
        <v>13.91</v>
      </c>
      <c r="N6">
        <v>12.47</v>
      </c>
      <c r="O6">
        <v>10.24</v>
      </c>
      <c r="P6">
        <v>6.91</v>
      </c>
      <c r="Q6">
        <v>24.82</v>
      </c>
      <c r="R6">
        <v>33.119999999999997</v>
      </c>
      <c r="S6">
        <v>39.83</v>
      </c>
      <c r="T6">
        <v>2077</v>
      </c>
      <c r="U6">
        <v>1904</v>
      </c>
      <c r="V6">
        <v>1159</v>
      </c>
      <c r="W6">
        <v>396</v>
      </c>
      <c r="X6">
        <v>8982</v>
      </c>
      <c r="Y6">
        <v>1024</v>
      </c>
      <c r="Z6">
        <v>5107</v>
      </c>
      <c r="AA6">
        <v>2258</v>
      </c>
      <c r="AB6">
        <v>15.795999999999999</v>
      </c>
      <c r="AC6">
        <v>17371</v>
      </c>
      <c r="AD6">
        <v>0.36</v>
      </c>
      <c r="AE6" s="1">
        <v>0.57303542734715696</v>
      </c>
      <c r="AF6" s="10">
        <v>1.19868713049479E-3</v>
      </c>
      <c r="AG6">
        <v>8.8455536230578502E-2</v>
      </c>
      <c r="AH6">
        <v>33.122600507401799</v>
      </c>
      <c r="AI6">
        <v>13.91</v>
      </c>
      <c r="AJ6">
        <v>12.47</v>
      </c>
    </row>
    <row r="7" spans="1:36" x14ac:dyDescent="0.25">
      <c r="A7">
        <v>13497</v>
      </c>
      <c r="B7">
        <v>3492</v>
      </c>
      <c r="C7">
        <v>1637</v>
      </c>
      <c r="D7">
        <v>0</v>
      </c>
      <c r="E7">
        <v>260</v>
      </c>
      <c r="F7">
        <v>11411</v>
      </c>
      <c r="G7">
        <v>14.46</v>
      </c>
      <c r="H7">
        <v>15.5</v>
      </c>
      <c r="I7">
        <v>5.09</v>
      </c>
      <c r="J7">
        <v>0</v>
      </c>
      <c r="K7">
        <v>0.54</v>
      </c>
      <c r="L7">
        <v>23.64</v>
      </c>
      <c r="M7">
        <v>10.85</v>
      </c>
      <c r="N7">
        <v>16.28</v>
      </c>
      <c r="O7">
        <v>11.86</v>
      </c>
      <c r="P7">
        <v>10.51</v>
      </c>
      <c r="Q7">
        <v>24.82</v>
      </c>
      <c r="R7">
        <v>31.52</v>
      </c>
      <c r="S7">
        <v>31.6</v>
      </c>
      <c r="T7">
        <v>2077</v>
      </c>
      <c r="U7">
        <v>1904</v>
      </c>
      <c r="V7">
        <v>1103</v>
      </c>
      <c r="W7">
        <v>320</v>
      </c>
      <c r="X7">
        <v>8142</v>
      </c>
      <c r="Y7">
        <v>1053</v>
      </c>
      <c r="Z7">
        <v>5235</v>
      </c>
      <c r="AA7">
        <v>3023</v>
      </c>
      <c r="AB7">
        <v>13.428000000000001</v>
      </c>
      <c r="AC7">
        <v>17453</v>
      </c>
      <c r="AD7">
        <v>0.45</v>
      </c>
      <c r="AE7" s="1">
        <v>0.52245772438595095</v>
      </c>
      <c r="AF7" s="10">
        <v>4.7229587565019999E-4</v>
      </c>
      <c r="AG7">
        <v>0.597984136225436</v>
      </c>
      <c r="AH7">
        <v>31.515128756367201</v>
      </c>
      <c r="AI7">
        <v>10.85</v>
      </c>
      <c r="AJ7">
        <v>16.28</v>
      </c>
    </row>
    <row r="8" spans="1:36" x14ac:dyDescent="0.25">
      <c r="A8">
        <v>6133</v>
      </c>
      <c r="B8">
        <v>1611</v>
      </c>
      <c r="C8">
        <v>2305</v>
      </c>
      <c r="D8">
        <v>3</v>
      </c>
      <c r="E8">
        <v>245</v>
      </c>
      <c r="F8">
        <v>11037</v>
      </c>
      <c r="G8">
        <v>6.57</v>
      </c>
      <c r="H8">
        <v>7.15</v>
      </c>
      <c r="I8">
        <v>7.16</v>
      </c>
      <c r="J8">
        <v>0.01</v>
      </c>
      <c r="K8">
        <v>0.51</v>
      </c>
      <c r="L8">
        <v>22.86</v>
      </c>
      <c r="M8">
        <v>5</v>
      </c>
      <c r="N8">
        <v>22.92</v>
      </c>
      <c r="O8">
        <v>22.26</v>
      </c>
      <c r="P8">
        <v>2.6</v>
      </c>
      <c r="Q8">
        <v>24.83</v>
      </c>
      <c r="R8">
        <v>30.48</v>
      </c>
      <c r="S8">
        <v>14.86</v>
      </c>
      <c r="T8">
        <v>2078</v>
      </c>
      <c r="U8">
        <v>1904</v>
      </c>
      <c r="V8">
        <v>1067</v>
      </c>
      <c r="W8">
        <v>1417</v>
      </c>
      <c r="X8">
        <v>7764</v>
      </c>
      <c r="Y8">
        <v>695</v>
      </c>
      <c r="Z8">
        <v>5455</v>
      </c>
      <c r="AA8">
        <v>1378</v>
      </c>
      <c r="AB8">
        <v>16.335000000000001</v>
      </c>
      <c r="AC8">
        <v>15292</v>
      </c>
      <c r="AD8">
        <v>0.48</v>
      </c>
      <c r="AE8" s="1">
        <v>0.47402249598286</v>
      </c>
      <c r="AF8" s="10">
        <v>8.5808590330887207E-3</v>
      </c>
      <c r="AG8">
        <v>0.56277314843559101</v>
      </c>
      <c r="AH8">
        <v>30.4819067076</v>
      </c>
      <c r="AI8">
        <v>5</v>
      </c>
      <c r="AJ8">
        <v>22.92</v>
      </c>
    </row>
    <row r="9" spans="1:36" x14ac:dyDescent="0.25">
      <c r="A9">
        <v>10313</v>
      </c>
      <c r="B9">
        <v>163</v>
      </c>
      <c r="C9">
        <v>2649</v>
      </c>
      <c r="D9">
        <v>11</v>
      </c>
      <c r="E9">
        <v>196</v>
      </c>
      <c r="F9">
        <v>11601</v>
      </c>
      <c r="G9">
        <v>11.05</v>
      </c>
      <c r="H9">
        <v>0.72</v>
      </c>
      <c r="I9">
        <v>8.23</v>
      </c>
      <c r="J9">
        <v>0.02</v>
      </c>
      <c r="K9">
        <v>0.41</v>
      </c>
      <c r="L9">
        <v>24.03</v>
      </c>
      <c r="M9">
        <v>0.51</v>
      </c>
      <c r="N9">
        <v>26.33</v>
      </c>
      <c r="O9">
        <v>27.78</v>
      </c>
      <c r="P9">
        <v>5.0999999999999996</v>
      </c>
      <c r="Q9">
        <v>24.85</v>
      </c>
      <c r="R9">
        <v>32.04</v>
      </c>
      <c r="S9">
        <v>1.9</v>
      </c>
      <c r="T9">
        <v>2081</v>
      </c>
      <c r="U9">
        <v>1904</v>
      </c>
      <c r="V9">
        <v>1121</v>
      </c>
      <c r="W9">
        <v>1635</v>
      </c>
      <c r="X9">
        <v>6925</v>
      </c>
      <c r="Y9">
        <v>625</v>
      </c>
      <c r="Z9">
        <v>5569</v>
      </c>
      <c r="AA9">
        <v>1597</v>
      </c>
      <c r="AB9">
        <v>14.734999999999999</v>
      </c>
      <c r="AC9">
        <v>14716</v>
      </c>
      <c r="AD9">
        <v>0.63</v>
      </c>
      <c r="AE9" s="1">
        <v>0.417246920192822</v>
      </c>
      <c r="AF9" s="10">
        <v>2.8700361220578799E-2</v>
      </c>
      <c r="AG9">
        <v>0.45194771602655298</v>
      </c>
      <c r="AH9">
        <v>32.039692484042398</v>
      </c>
      <c r="AI9">
        <v>0.51</v>
      </c>
      <c r="AJ9">
        <v>26.33</v>
      </c>
    </row>
    <row r="10" spans="1:36" x14ac:dyDescent="0.25">
      <c r="A10">
        <v>5858</v>
      </c>
      <c r="B10">
        <v>5103</v>
      </c>
      <c r="C10">
        <v>2767</v>
      </c>
      <c r="D10">
        <v>4</v>
      </c>
      <c r="E10">
        <v>209</v>
      </c>
      <c r="F10">
        <v>3618</v>
      </c>
      <c r="G10">
        <v>6.28</v>
      </c>
      <c r="H10">
        <v>22.65</v>
      </c>
      <c r="I10">
        <v>8.6</v>
      </c>
      <c r="J10">
        <v>0.01</v>
      </c>
      <c r="K10">
        <v>0.43</v>
      </c>
      <c r="L10">
        <v>7.49</v>
      </c>
      <c r="M10">
        <v>15.86</v>
      </c>
      <c r="N10">
        <v>27.51</v>
      </c>
      <c r="O10">
        <v>11.4</v>
      </c>
      <c r="P10">
        <v>5.51</v>
      </c>
      <c r="Q10">
        <v>24.83</v>
      </c>
      <c r="R10">
        <v>9.99</v>
      </c>
      <c r="S10">
        <v>45.78</v>
      </c>
      <c r="T10">
        <v>2078</v>
      </c>
      <c r="U10">
        <v>1904</v>
      </c>
      <c r="V10">
        <v>350</v>
      </c>
      <c r="W10">
        <v>552</v>
      </c>
      <c r="X10">
        <v>8842</v>
      </c>
      <c r="Y10">
        <v>991</v>
      </c>
      <c r="Z10">
        <v>5608</v>
      </c>
      <c r="AA10">
        <v>2537</v>
      </c>
      <c r="AB10">
        <v>17.893999999999998</v>
      </c>
      <c r="AC10">
        <v>17978</v>
      </c>
      <c r="AD10">
        <v>0.32</v>
      </c>
      <c r="AE10" s="1">
        <v>0.62751549468207202</v>
      </c>
      <c r="AF10" s="10">
        <v>1.1075390379128001E-2</v>
      </c>
      <c r="AG10">
        <v>0.48060367787152197</v>
      </c>
      <c r="AH10">
        <v>9.9931230629861592</v>
      </c>
      <c r="AI10">
        <v>15.86</v>
      </c>
      <c r="AJ10">
        <v>27.51</v>
      </c>
    </row>
    <row r="11" spans="1:36" x14ac:dyDescent="0.25">
      <c r="A11">
        <v>12833</v>
      </c>
      <c r="B11">
        <v>3823</v>
      </c>
      <c r="C11">
        <v>1405</v>
      </c>
      <c r="D11">
        <v>2</v>
      </c>
      <c r="E11">
        <v>124</v>
      </c>
      <c r="F11">
        <v>12163</v>
      </c>
      <c r="G11">
        <v>13.75</v>
      </c>
      <c r="H11">
        <v>16.97</v>
      </c>
      <c r="I11">
        <v>4.3600000000000003</v>
      </c>
      <c r="J11">
        <v>0</v>
      </c>
      <c r="K11">
        <v>0.26</v>
      </c>
      <c r="L11">
        <v>25.19</v>
      </c>
      <c r="M11">
        <v>11.88</v>
      </c>
      <c r="N11">
        <v>13.97</v>
      </c>
      <c r="O11">
        <v>10.66</v>
      </c>
      <c r="P11">
        <v>10.79</v>
      </c>
      <c r="Q11">
        <v>24.83</v>
      </c>
      <c r="R11">
        <v>33.590000000000003</v>
      </c>
      <c r="S11">
        <v>34.22</v>
      </c>
      <c r="T11">
        <v>2077</v>
      </c>
      <c r="U11">
        <v>1904</v>
      </c>
      <c r="V11">
        <v>1175</v>
      </c>
      <c r="W11">
        <v>223</v>
      </c>
      <c r="X11">
        <v>8344</v>
      </c>
      <c r="Y11">
        <v>1082</v>
      </c>
      <c r="Z11">
        <v>5158</v>
      </c>
      <c r="AA11">
        <v>3027</v>
      </c>
      <c r="AB11">
        <v>13.455</v>
      </c>
      <c r="AC11">
        <v>17611</v>
      </c>
      <c r="AD11">
        <v>0.44</v>
      </c>
      <c r="AE11" s="1">
        <v>0.53339964802203599</v>
      </c>
      <c r="AF11" s="10">
        <v>5.5204656273679801E-3</v>
      </c>
      <c r="AG11">
        <v>0.28510379236306499</v>
      </c>
      <c r="AH11">
        <v>33.591825117172199</v>
      </c>
      <c r="AI11">
        <v>11.88</v>
      </c>
      <c r="AJ11">
        <v>13.97</v>
      </c>
    </row>
    <row r="12" spans="1:36" x14ac:dyDescent="0.25">
      <c r="A12">
        <v>7160</v>
      </c>
      <c r="B12">
        <v>1826</v>
      </c>
      <c r="C12">
        <v>2194</v>
      </c>
      <c r="D12">
        <v>5</v>
      </c>
      <c r="E12">
        <v>19</v>
      </c>
      <c r="F12">
        <v>11472</v>
      </c>
      <c r="G12">
        <v>7.67</v>
      </c>
      <c r="H12">
        <v>8.11</v>
      </c>
      <c r="I12">
        <v>6.82</v>
      </c>
      <c r="J12">
        <v>0.01</v>
      </c>
      <c r="K12">
        <v>0.04</v>
      </c>
      <c r="L12">
        <v>23.76</v>
      </c>
      <c r="M12">
        <v>5.67</v>
      </c>
      <c r="N12">
        <v>21.81</v>
      </c>
      <c r="O12">
        <v>20.67</v>
      </c>
      <c r="P12">
        <v>3.41</v>
      </c>
      <c r="Q12">
        <v>24.83</v>
      </c>
      <c r="R12">
        <v>31.68</v>
      </c>
      <c r="S12">
        <v>16.260000000000002</v>
      </c>
      <c r="T12">
        <v>2078</v>
      </c>
      <c r="U12">
        <v>1904</v>
      </c>
      <c r="V12">
        <v>1109</v>
      </c>
      <c r="W12">
        <v>1273</v>
      </c>
      <c r="X12">
        <v>7784</v>
      </c>
      <c r="Y12">
        <v>741</v>
      </c>
      <c r="Z12">
        <v>5419</v>
      </c>
      <c r="AA12">
        <v>1606</v>
      </c>
      <c r="AB12">
        <v>15.792</v>
      </c>
      <c r="AC12">
        <v>15550</v>
      </c>
      <c r="AD12">
        <v>0.47</v>
      </c>
      <c r="AE12" s="1">
        <v>0.47256867396128199</v>
      </c>
      <c r="AF12" s="10">
        <v>1.3279395893256401E-2</v>
      </c>
      <c r="AG12">
        <v>4.3698022893814401E-2</v>
      </c>
      <c r="AH12">
        <v>31.681633535802298</v>
      </c>
      <c r="AI12">
        <v>5.67</v>
      </c>
      <c r="AJ12">
        <v>21.81</v>
      </c>
    </row>
    <row r="13" spans="1:36" x14ac:dyDescent="0.25">
      <c r="A13">
        <v>10826</v>
      </c>
      <c r="B13">
        <v>970</v>
      </c>
      <c r="C13">
        <v>2393</v>
      </c>
      <c r="D13">
        <v>9</v>
      </c>
      <c r="E13">
        <v>34</v>
      </c>
      <c r="F13">
        <v>11781</v>
      </c>
      <c r="G13">
        <v>11.6</v>
      </c>
      <c r="H13">
        <v>4.3</v>
      </c>
      <c r="I13">
        <v>7.44</v>
      </c>
      <c r="J13">
        <v>0.02</v>
      </c>
      <c r="K13">
        <v>7.0000000000000007E-2</v>
      </c>
      <c r="L13">
        <v>24.4</v>
      </c>
      <c r="M13">
        <v>3.01</v>
      </c>
      <c r="N13">
        <v>23.8</v>
      </c>
      <c r="O13">
        <v>23.55</v>
      </c>
      <c r="P13">
        <v>5.79</v>
      </c>
      <c r="Q13">
        <v>24.84</v>
      </c>
      <c r="R13">
        <v>32.54</v>
      </c>
      <c r="S13">
        <v>8.69</v>
      </c>
      <c r="T13">
        <v>2080</v>
      </c>
      <c r="U13">
        <v>1904</v>
      </c>
      <c r="V13">
        <v>1138</v>
      </c>
      <c r="W13">
        <v>1330</v>
      </c>
      <c r="X13">
        <v>7220</v>
      </c>
      <c r="Y13">
        <v>724</v>
      </c>
      <c r="Z13">
        <v>5485</v>
      </c>
      <c r="AA13">
        <v>1913</v>
      </c>
      <c r="AB13">
        <v>14.42</v>
      </c>
      <c r="AC13">
        <v>15342</v>
      </c>
      <c r="AD13">
        <v>0.56999999999999995</v>
      </c>
      <c r="AE13" s="1">
        <v>0.436758742061366</v>
      </c>
      <c r="AF13" s="10">
        <v>2.2441634781284001E-2</v>
      </c>
      <c r="AG13">
        <v>7.8211865170087505E-2</v>
      </c>
      <c r="AH13">
        <v>32.5355874163319</v>
      </c>
      <c r="AI13">
        <v>3.01</v>
      </c>
      <c r="AJ13">
        <v>23.8</v>
      </c>
    </row>
    <row r="14" spans="1:36" x14ac:dyDescent="0.25">
      <c r="A14">
        <v>5782</v>
      </c>
      <c r="B14">
        <v>297</v>
      </c>
      <c r="C14">
        <v>2498</v>
      </c>
      <c r="D14">
        <v>1</v>
      </c>
      <c r="E14">
        <v>191</v>
      </c>
      <c r="F14">
        <v>12138</v>
      </c>
      <c r="G14">
        <v>6.19</v>
      </c>
      <c r="H14">
        <v>1.32</v>
      </c>
      <c r="I14">
        <v>7.76</v>
      </c>
      <c r="J14">
        <v>0</v>
      </c>
      <c r="K14">
        <v>0.4</v>
      </c>
      <c r="L14">
        <v>25.14</v>
      </c>
      <c r="M14">
        <v>0.92</v>
      </c>
      <c r="N14">
        <v>24.84</v>
      </c>
      <c r="O14">
        <v>28.49</v>
      </c>
      <c r="P14">
        <v>2.02</v>
      </c>
      <c r="Q14">
        <v>24.82</v>
      </c>
      <c r="R14">
        <v>33.520000000000003</v>
      </c>
      <c r="S14">
        <v>3.07</v>
      </c>
      <c r="T14">
        <v>2077</v>
      </c>
      <c r="U14">
        <v>1904</v>
      </c>
      <c r="V14">
        <v>1173</v>
      </c>
      <c r="W14">
        <v>1841</v>
      </c>
      <c r="X14">
        <v>7280</v>
      </c>
      <c r="Y14">
        <v>555</v>
      </c>
      <c r="Z14">
        <v>5519</v>
      </c>
      <c r="AA14">
        <v>956</v>
      </c>
      <c r="AB14">
        <v>16.276</v>
      </c>
      <c r="AC14">
        <v>14310</v>
      </c>
      <c r="AD14">
        <v>0.59</v>
      </c>
      <c r="AE14" s="1">
        <v>0.43140255566607999</v>
      </c>
      <c r="AF14" s="10">
        <v>2.5043184218458501E-3</v>
      </c>
      <c r="AG14">
        <v>0.43937012214437199</v>
      </c>
      <c r="AH14">
        <v>33.522492718707802</v>
      </c>
      <c r="AI14">
        <v>0.92</v>
      </c>
      <c r="AJ14">
        <v>24.84</v>
      </c>
    </row>
    <row r="15" spans="1:36" x14ac:dyDescent="0.25">
      <c r="A15">
        <v>13292</v>
      </c>
      <c r="B15">
        <v>891</v>
      </c>
      <c r="C15">
        <v>2339</v>
      </c>
      <c r="D15">
        <v>10</v>
      </c>
      <c r="E15">
        <v>263</v>
      </c>
      <c r="F15">
        <v>11929</v>
      </c>
      <c r="G15">
        <v>14.24</v>
      </c>
      <c r="H15">
        <v>3.96</v>
      </c>
      <c r="I15">
        <v>7.27</v>
      </c>
      <c r="J15">
        <v>0.02</v>
      </c>
      <c r="K15">
        <v>0.55000000000000004</v>
      </c>
      <c r="L15">
        <v>24.71</v>
      </c>
      <c r="M15">
        <v>2.77</v>
      </c>
      <c r="N15">
        <v>23.26</v>
      </c>
      <c r="O15">
        <v>23.12</v>
      </c>
      <c r="P15">
        <v>7.83</v>
      </c>
      <c r="Q15">
        <v>24.85</v>
      </c>
      <c r="R15">
        <v>32.950000000000003</v>
      </c>
      <c r="S15">
        <v>8.52</v>
      </c>
      <c r="T15">
        <v>2080</v>
      </c>
      <c r="U15">
        <v>1904</v>
      </c>
      <c r="V15">
        <v>1153</v>
      </c>
      <c r="W15">
        <v>1192</v>
      </c>
      <c r="X15">
        <v>7083</v>
      </c>
      <c r="Y15">
        <v>769</v>
      </c>
      <c r="Z15">
        <v>5467</v>
      </c>
      <c r="AA15">
        <v>2251</v>
      </c>
      <c r="AB15">
        <v>13.536</v>
      </c>
      <c r="AC15">
        <v>15570</v>
      </c>
      <c r="AD15">
        <v>0.6</v>
      </c>
      <c r="AE15" s="1">
        <v>0.43224424209962498</v>
      </c>
      <c r="AF15" s="10">
        <v>2.50532627632617E-2</v>
      </c>
      <c r="AG15">
        <v>0.60625656056991795</v>
      </c>
      <c r="AH15">
        <v>32.945259117751299</v>
      </c>
      <c r="AI15">
        <v>2.77</v>
      </c>
      <c r="AJ15">
        <v>23.26</v>
      </c>
    </row>
    <row r="16" spans="1:36" x14ac:dyDescent="0.25">
      <c r="A16">
        <v>10191</v>
      </c>
      <c r="B16">
        <v>1206</v>
      </c>
      <c r="C16">
        <v>2313</v>
      </c>
      <c r="D16">
        <v>0</v>
      </c>
      <c r="E16">
        <v>24</v>
      </c>
      <c r="F16">
        <v>11830</v>
      </c>
      <c r="G16">
        <v>10.92</v>
      </c>
      <c r="H16">
        <v>5.35</v>
      </c>
      <c r="I16">
        <v>7.19</v>
      </c>
      <c r="J16">
        <v>0</v>
      </c>
      <c r="K16">
        <v>0.05</v>
      </c>
      <c r="L16">
        <v>24.5</v>
      </c>
      <c r="M16">
        <v>3.75</v>
      </c>
      <c r="N16">
        <v>23</v>
      </c>
      <c r="O16">
        <v>22.53</v>
      </c>
      <c r="P16">
        <v>5.4</v>
      </c>
      <c r="Q16">
        <v>24.82</v>
      </c>
      <c r="R16">
        <v>32.67</v>
      </c>
      <c r="S16">
        <v>10.76</v>
      </c>
      <c r="T16">
        <v>2077</v>
      </c>
      <c r="U16">
        <v>1904</v>
      </c>
      <c r="V16">
        <v>1143</v>
      </c>
      <c r="W16">
        <v>1287</v>
      </c>
      <c r="X16">
        <v>7357</v>
      </c>
      <c r="Y16">
        <v>738</v>
      </c>
      <c r="Z16">
        <v>5457</v>
      </c>
      <c r="AA16">
        <v>1886</v>
      </c>
      <c r="AB16">
        <v>14.624000000000001</v>
      </c>
      <c r="AC16">
        <v>15438</v>
      </c>
      <c r="AD16">
        <v>0.54</v>
      </c>
      <c r="AE16" s="1">
        <v>0.44463998775728802</v>
      </c>
      <c r="AF16" s="10">
        <v>1.1170101297338999E-3</v>
      </c>
      <c r="AG16">
        <v>5.4501173305726902E-2</v>
      </c>
      <c r="AH16">
        <v>32.671721562405899</v>
      </c>
      <c r="AI16">
        <v>3.75</v>
      </c>
      <c r="AJ16">
        <v>23</v>
      </c>
    </row>
    <row r="17" spans="1:36" x14ac:dyDescent="0.25">
      <c r="A17">
        <v>13316</v>
      </c>
      <c r="B17">
        <v>394</v>
      </c>
      <c r="C17">
        <v>2473</v>
      </c>
      <c r="D17">
        <v>0</v>
      </c>
      <c r="E17">
        <v>180</v>
      </c>
      <c r="F17">
        <v>12125</v>
      </c>
      <c r="G17">
        <v>14.27</v>
      </c>
      <c r="H17">
        <v>1.75</v>
      </c>
      <c r="I17">
        <v>7.68</v>
      </c>
      <c r="J17">
        <v>0</v>
      </c>
      <c r="K17">
        <v>0.37</v>
      </c>
      <c r="L17">
        <v>25.11</v>
      </c>
      <c r="M17">
        <v>1.23</v>
      </c>
      <c r="N17">
        <v>24.59</v>
      </c>
      <c r="O17">
        <v>25.52</v>
      </c>
      <c r="P17">
        <v>7.63</v>
      </c>
      <c r="Q17">
        <v>24.82</v>
      </c>
      <c r="R17">
        <v>33.49</v>
      </c>
      <c r="S17">
        <v>3.91</v>
      </c>
      <c r="T17">
        <v>2077</v>
      </c>
      <c r="U17">
        <v>1904</v>
      </c>
      <c r="V17">
        <v>1172</v>
      </c>
      <c r="W17">
        <v>1355</v>
      </c>
      <c r="X17">
        <v>6865</v>
      </c>
      <c r="Y17">
        <v>716</v>
      </c>
      <c r="Z17">
        <v>5511</v>
      </c>
      <c r="AA17">
        <v>2117</v>
      </c>
      <c r="AB17">
        <v>13.486000000000001</v>
      </c>
      <c r="AC17">
        <v>15209</v>
      </c>
      <c r="AD17">
        <v>0.64</v>
      </c>
      <c r="AE17" s="1">
        <v>0.415104445634708</v>
      </c>
      <c r="AF17" s="10">
        <v>5.2591666931641997E-4</v>
      </c>
      <c r="AG17">
        <v>0.41330592355580698</v>
      </c>
      <c r="AH17">
        <v>33.485891381861201</v>
      </c>
      <c r="AI17">
        <v>1.23</v>
      </c>
      <c r="AJ17">
        <v>24.59</v>
      </c>
    </row>
    <row r="18" spans="1:36" x14ac:dyDescent="0.25">
      <c r="A18">
        <v>5729</v>
      </c>
      <c r="B18">
        <v>5346</v>
      </c>
      <c r="C18">
        <v>2671</v>
      </c>
      <c r="D18">
        <v>17</v>
      </c>
      <c r="E18">
        <v>4</v>
      </c>
      <c r="F18">
        <v>3904</v>
      </c>
      <c r="G18">
        <v>6.14</v>
      </c>
      <c r="H18">
        <v>23.73</v>
      </c>
      <c r="I18">
        <v>8.3000000000000007</v>
      </c>
      <c r="J18">
        <v>0.04</v>
      </c>
      <c r="K18">
        <v>0.01</v>
      </c>
      <c r="L18">
        <v>8.09</v>
      </c>
      <c r="M18">
        <v>16.61</v>
      </c>
      <c r="N18">
        <v>26.56</v>
      </c>
      <c r="O18">
        <v>10.73</v>
      </c>
      <c r="P18">
        <v>6.08</v>
      </c>
      <c r="Q18">
        <v>24.87</v>
      </c>
      <c r="R18">
        <v>10.78</v>
      </c>
      <c r="S18">
        <v>47.47</v>
      </c>
      <c r="T18">
        <v>2083</v>
      </c>
      <c r="U18">
        <v>1904</v>
      </c>
      <c r="V18">
        <v>377</v>
      </c>
      <c r="W18">
        <v>473</v>
      </c>
      <c r="X18">
        <v>8941</v>
      </c>
      <c r="Y18">
        <v>1017</v>
      </c>
      <c r="Z18">
        <v>5576</v>
      </c>
      <c r="AA18">
        <v>2582</v>
      </c>
      <c r="AB18">
        <v>17.82</v>
      </c>
      <c r="AC18">
        <v>18116</v>
      </c>
      <c r="AD18">
        <v>0.32</v>
      </c>
      <c r="AE18" s="1">
        <v>0.635626291223506</v>
      </c>
      <c r="AF18" s="10">
        <v>4.5025130836955397E-2</v>
      </c>
      <c r="AG18">
        <v>9.2159508056194901E-3</v>
      </c>
      <c r="AH18">
        <v>10.780498273988201</v>
      </c>
      <c r="AI18">
        <v>16.61</v>
      </c>
      <c r="AJ18">
        <v>26.56</v>
      </c>
    </row>
    <row r="19" spans="1:36" x14ac:dyDescent="0.25">
      <c r="A19">
        <v>12589</v>
      </c>
      <c r="B19">
        <v>3509</v>
      </c>
      <c r="C19">
        <v>1528</v>
      </c>
      <c r="D19">
        <v>1</v>
      </c>
      <c r="E19">
        <v>45</v>
      </c>
      <c r="F19">
        <v>12121</v>
      </c>
      <c r="G19">
        <v>13.49</v>
      </c>
      <c r="H19">
        <v>15.58</v>
      </c>
      <c r="I19">
        <v>4.75</v>
      </c>
      <c r="J19">
        <v>0</v>
      </c>
      <c r="K19">
        <v>0.09</v>
      </c>
      <c r="L19">
        <v>25.11</v>
      </c>
      <c r="M19">
        <v>10.9</v>
      </c>
      <c r="N19">
        <v>15.2</v>
      </c>
      <c r="O19">
        <v>11.74</v>
      </c>
      <c r="P19">
        <v>9.83</v>
      </c>
      <c r="Q19">
        <v>24.82</v>
      </c>
      <c r="R19">
        <v>33.47</v>
      </c>
      <c r="S19">
        <v>31.26</v>
      </c>
      <c r="T19">
        <v>2077</v>
      </c>
      <c r="U19">
        <v>1904</v>
      </c>
      <c r="V19">
        <v>1171</v>
      </c>
      <c r="W19">
        <v>349</v>
      </c>
      <c r="X19">
        <v>8210</v>
      </c>
      <c r="Y19">
        <v>1042</v>
      </c>
      <c r="Z19">
        <v>5200</v>
      </c>
      <c r="AA19">
        <v>2904</v>
      </c>
      <c r="AB19">
        <v>13.552</v>
      </c>
      <c r="AC19">
        <v>17356</v>
      </c>
      <c r="AD19">
        <v>0.44</v>
      </c>
      <c r="AE19" s="1">
        <v>0.51893794475476296</v>
      </c>
      <c r="AF19" s="10">
        <v>3.3544614324033102E-3</v>
      </c>
      <c r="AG19">
        <v>0.102536482619525</v>
      </c>
      <c r="AH19">
        <v>33.474463499532199</v>
      </c>
      <c r="AI19">
        <v>10.9</v>
      </c>
      <c r="AJ19">
        <v>15.2</v>
      </c>
    </row>
    <row r="20" spans="1:36" x14ac:dyDescent="0.25">
      <c r="A20">
        <v>6295</v>
      </c>
      <c r="B20">
        <v>2410</v>
      </c>
      <c r="C20">
        <v>1800</v>
      </c>
      <c r="D20">
        <v>9</v>
      </c>
      <c r="E20">
        <v>489</v>
      </c>
      <c r="F20">
        <v>12010</v>
      </c>
      <c r="G20">
        <v>6.74</v>
      </c>
      <c r="H20">
        <v>10.7</v>
      </c>
      <c r="I20">
        <v>5.59</v>
      </c>
      <c r="J20">
        <v>0.02</v>
      </c>
      <c r="K20">
        <v>1.01</v>
      </c>
      <c r="L20">
        <v>24.88</v>
      </c>
      <c r="M20">
        <v>7.49</v>
      </c>
      <c r="N20">
        <v>17.899999999999999</v>
      </c>
      <c r="O20">
        <v>17.68</v>
      </c>
      <c r="P20">
        <v>3.31</v>
      </c>
      <c r="Q20">
        <v>24.84</v>
      </c>
      <c r="R20">
        <v>33.17</v>
      </c>
      <c r="S20">
        <v>22.52</v>
      </c>
      <c r="T20">
        <v>2080</v>
      </c>
      <c r="U20">
        <v>1904</v>
      </c>
      <c r="V20">
        <v>1161</v>
      </c>
      <c r="W20">
        <v>1086</v>
      </c>
      <c r="X20">
        <v>8189</v>
      </c>
      <c r="Y20">
        <v>799</v>
      </c>
      <c r="Z20">
        <v>5288</v>
      </c>
      <c r="AA20">
        <v>1622</v>
      </c>
      <c r="AB20">
        <v>16.077000000000002</v>
      </c>
      <c r="AC20">
        <v>15898</v>
      </c>
      <c r="AD20">
        <v>0.42</v>
      </c>
      <c r="AE20" s="1">
        <v>0.49766623307062502</v>
      </c>
      <c r="AF20" s="10">
        <v>2.4529288301030499E-2</v>
      </c>
      <c r="AG20">
        <v>1.12610906807927</v>
      </c>
      <c r="AH20">
        <v>33.169681214716697</v>
      </c>
      <c r="AI20">
        <v>7.49</v>
      </c>
      <c r="AJ20">
        <v>17.899999999999999</v>
      </c>
    </row>
    <row r="21" spans="1:36" x14ac:dyDescent="0.25">
      <c r="A21">
        <v>14997</v>
      </c>
      <c r="B21">
        <v>5320</v>
      </c>
      <c r="C21">
        <v>925</v>
      </c>
      <c r="D21">
        <v>5</v>
      </c>
      <c r="E21">
        <v>99</v>
      </c>
      <c r="F21">
        <v>12241</v>
      </c>
      <c r="G21">
        <v>16.07</v>
      </c>
      <c r="H21">
        <v>23.61</v>
      </c>
      <c r="I21">
        <v>2.87</v>
      </c>
      <c r="J21">
        <v>0.01</v>
      </c>
      <c r="K21">
        <v>0.2</v>
      </c>
      <c r="L21">
        <v>25.36</v>
      </c>
      <c r="M21">
        <v>16.53</v>
      </c>
      <c r="N21">
        <v>9.1999999999999993</v>
      </c>
      <c r="O21">
        <v>7.08</v>
      </c>
      <c r="P21">
        <v>17.66</v>
      </c>
      <c r="Q21">
        <v>24.83</v>
      </c>
      <c r="R21">
        <v>33.81</v>
      </c>
      <c r="S21">
        <v>47.46</v>
      </c>
      <c r="T21">
        <v>2078</v>
      </c>
      <c r="U21">
        <v>1904</v>
      </c>
      <c r="V21">
        <v>1183</v>
      </c>
      <c r="W21">
        <v>-418</v>
      </c>
      <c r="X21">
        <v>8850</v>
      </c>
      <c r="Y21">
        <v>1291</v>
      </c>
      <c r="Z21">
        <v>5000</v>
      </c>
      <c r="AA21">
        <v>3781</v>
      </c>
      <c r="AB21">
        <v>12.551</v>
      </c>
      <c r="AC21">
        <v>18922</v>
      </c>
      <c r="AD21">
        <v>0.53</v>
      </c>
      <c r="AE21" s="1">
        <v>0.60731502027699102</v>
      </c>
      <c r="AF21" s="10">
        <v>1.32739420944522E-2</v>
      </c>
      <c r="AG21">
        <v>0.226967740410351</v>
      </c>
      <c r="AH21">
        <v>33.807378661220604</v>
      </c>
      <c r="AI21">
        <v>16.53</v>
      </c>
      <c r="AJ21">
        <v>9.1999999999999993</v>
      </c>
    </row>
    <row r="22" spans="1:36" x14ac:dyDescent="0.25">
      <c r="A22">
        <v>5877</v>
      </c>
      <c r="B22">
        <v>1936</v>
      </c>
      <c r="C22">
        <v>2060</v>
      </c>
      <c r="D22">
        <v>8</v>
      </c>
      <c r="E22">
        <v>649</v>
      </c>
      <c r="F22">
        <v>11319</v>
      </c>
      <c r="G22">
        <v>6.3</v>
      </c>
      <c r="H22">
        <v>8.59</v>
      </c>
      <c r="I22">
        <v>6.4</v>
      </c>
      <c r="J22">
        <v>0.02</v>
      </c>
      <c r="K22">
        <v>1.34</v>
      </c>
      <c r="L22">
        <v>23.45</v>
      </c>
      <c r="M22">
        <v>6.02</v>
      </c>
      <c r="N22">
        <v>20.48</v>
      </c>
      <c r="O22">
        <v>20.38</v>
      </c>
      <c r="P22">
        <v>2.65</v>
      </c>
      <c r="Q22">
        <v>24.84</v>
      </c>
      <c r="R22">
        <v>31.26</v>
      </c>
      <c r="S22">
        <v>18.68</v>
      </c>
      <c r="T22">
        <v>2079</v>
      </c>
      <c r="U22">
        <v>1904</v>
      </c>
      <c r="V22">
        <v>1094</v>
      </c>
      <c r="W22">
        <v>1294</v>
      </c>
      <c r="X22">
        <v>7999</v>
      </c>
      <c r="Y22">
        <v>733</v>
      </c>
      <c r="Z22">
        <v>5374</v>
      </c>
      <c r="AA22">
        <v>1413</v>
      </c>
      <c r="AB22">
        <v>16.45</v>
      </c>
      <c r="AC22">
        <v>15519</v>
      </c>
      <c r="AD22">
        <v>0.46</v>
      </c>
      <c r="AE22" s="1">
        <v>0.48894330094115801</v>
      </c>
      <c r="AF22" s="10">
        <v>1.95967232558239E-2</v>
      </c>
      <c r="AG22">
        <v>1.4942004744186901</v>
      </c>
      <c r="AH22">
        <v>31.26144306086</v>
      </c>
      <c r="AI22">
        <v>6.02</v>
      </c>
      <c r="AJ22">
        <v>20.48</v>
      </c>
    </row>
    <row r="23" spans="1:36" x14ac:dyDescent="0.25">
      <c r="A23">
        <v>14494</v>
      </c>
      <c r="B23">
        <v>590</v>
      </c>
      <c r="C23">
        <v>2420</v>
      </c>
      <c r="D23">
        <v>6</v>
      </c>
      <c r="E23">
        <v>73</v>
      </c>
      <c r="F23">
        <v>12188</v>
      </c>
      <c r="G23">
        <v>15.53</v>
      </c>
      <c r="H23">
        <v>2.62</v>
      </c>
      <c r="I23">
        <v>7.52</v>
      </c>
      <c r="J23">
        <v>0.01</v>
      </c>
      <c r="K23">
        <v>0.15</v>
      </c>
      <c r="L23">
        <v>25.25</v>
      </c>
      <c r="M23">
        <v>1.83</v>
      </c>
      <c r="N23">
        <v>24.06</v>
      </c>
      <c r="O23">
        <v>24.32</v>
      </c>
      <c r="P23">
        <v>8.7200000000000006</v>
      </c>
      <c r="Q23">
        <v>24.84</v>
      </c>
      <c r="R23">
        <v>33.659999999999997</v>
      </c>
      <c r="S23">
        <v>5.4</v>
      </c>
      <c r="T23">
        <v>2079</v>
      </c>
      <c r="U23">
        <v>1904</v>
      </c>
      <c r="V23">
        <v>1178</v>
      </c>
      <c r="W23">
        <v>1220</v>
      </c>
      <c r="X23">
        <v>6866</v>
      </c>
      <c r="Y23">
        <v>761</v>
      </c>
      <c r="Z23">
        <v>5494</v>
      </c>
      <c r="AA23">
        <v>2356</v>
      </c>
      <c r="AB23">
        <v>13.002000000000001</v>
      </c>
      <c r="AC23">
        <v>15477</v>
      </c>
      <c r="AD23">
        <v>0.64</v>
      </c>
      <c r="AE23" s="1">
        <v>0.41747647103833502</v>
      </c>
      <c r="AF23" s="10">
        <v>1.5370517582461799E-2</v>
      </c>
      <c r="AG23">
        <v>0.16768905863625899</v>
      </c>
      <c r="AH23">
        <v>33.660386457316299</v>
      </c>
      <c r="AI23">
        <v>1.83</v>
      </c>
      <c r="AJ23">
        <v>24.06</v>
      </c>
    </row>
    <row r="24" spans="1:36" x14ac:dyDescent="0.25">
      <c r="A24">
        <v>14908</v>
      </c>
      <c r="B24">
        <v>1603</v>
      </c>
      <c r="C24">
        <v>2097</v>
      </c>
      <c r="D24">
        <v>1</v>
      </c>
      <c r="E24">
        <v>1447</v>
      </c>
      <c r="F24">
        <v>10850</v>
      </c>
      <c r="G24">
        <v>15.97</v>
      </c>
      <c r="H24">
        <v>7.12</v>
      </c>
      <c r="I24">
        <v>6.51</v>
      </c>
      <c r="J24">
        <v>0</v>
      </c>
      <c r="K24">
        <v>3</v>
      </c>
      <c r="L24">
        <v>22.47</v>
      </c>
      <c r="M24">
        <v>4.9800000000000004</v>
      </c>
      <c r="N24">
        <v>20.85</v>
      </c>
      <c r="O24">
        <v>19.350000000000001</v>
      </c>
      <c r="P24">
        <v>9.7100000000000009</v>
      </c>
      <c r="Q24">
        <v>24.82</v>
      </c>
      <c r="R24">
        <v>29.96</v>
      </c>
      <c r="S24">
        <v>17.559999999999999</v>
      </c>
      <c r="T24">
        <v>2077</v>
      </c>
      <c r="U24">
        <v>1904</v>
      </c>
      <c r="V24">
        <v>1048</v>
      </c>
      <c r="W24">
        <v>850</v>
      </c>
      <c r="X24">
        <v>7411</v>
      </c>
      <c r="Y24">
        <v>880</v>
      </c>
      <c r="Z24">
        <v>5386</v>
      </c>
      <c r="AA24">
        <v>2635</v>
      </c>
      <c r="AB24">
        <v>13.428000000000001</v>
      </c>
      <c r="AC24">
        <v>16312</v>
      </c>
      <c r="AD24">
        <v>0.56999999999999995</v>
      </c>
      <c r="AE24" s="1">
        <v>0.47233912311576998</v>
      </c>
      <c r="AF24" s="10">
        <v>2.2348107906677299E-3</v>
      </c>
      <c r="AG24">
        <v>3.3298421839399102</v>
      </c>
      <c r="AH24">
        <v>29.963848942422</v>
      </c>
      <c r="AI24">
        <v>4.9800000000000004</v>
      </c>
      <c r="AJ24">
        <v>20.85</v>
      </c>
    </row>
    <row r="25" spans="1:36" x14ac:dyDescent="0.25">
      <c r="A25">
        <v>10793</v>
      </c>
      <c r="B25">
        <v>555</v>
      </c>
      <c r="C25">
        <v>2553</v>
      </c>
      <c r="D25">
        <v>9</v>
      </c>
      <c r="E25">
        <v>316</v>
      </c>
      <c r="F25">
        <v>11357</v>
      </c>
      <c r="G25">
        <v>11.56</v>
      </c>
      <c r="H25">
        <v>2.46</v>
      </c>
      <c r="I25">
        <v>7.93</v>
      </c>
      <c r="J25">
        <v>0.02</v>
      </c>
      <c r="K25">
        <v>0.65</v>
      </c>
      <c r="L25">
        <v>23.52</v>
      </c>
      <c r="M25">
        <v>1.72</v>
      </c>
      <c r="N25">
        <v>25.38</v>
      </c>
      <c r="O25">
        <v>25.72</v>
      </c>
      <c r="P25">
        <v>5.59</v>
      </c>
      <c r="Q25">
        <v>24.84</v>
      </c>
      <c r="R25">
        <v>31.37</v>
      </c>
      <c r="S25">
        <v>5.65</v>
      </c>
      <c r="T25">
        <v>2080</v>
      </c>
      <c r="U25">
        <v>1904</v>
      </c>
      <c r="V25">
        <v>1098</v>
      </c>
      <c r="W25">
        <v>1478</v>
      </c>
      <c r="X25">
        <v>7067</v>
      </c>
      <c r="Y25">
        <v>676</v>
      </c>
      <c r="Z25">
        <v>5537</v>
      </c>
      <c r="AA25">
        <v>1774</v>
      </c>
      <c r="AB25">
        <v>14.619</v>
      </c>
      <c r="AC25">
        <v>15054</v>
      </c>
      <c r="AD25">
        <v>0.6</v>
      </c>
      <c r="AE25" s="1">
        <v>0.43010176754151003</v>
      </c>
      <c r="AF25" s="10">
        <v>2.32120999325123E-2</v>
      </c>
      <c r="AG25">
        <v>0.726342317668349</v>
      </c>
      <c r="AH25">
        <v>31.366273025954701</v>
      </c>
      <c r="AI25">
        <v>1.72</v>
      </c>
      <c r="AJ25">
        <v>25.38</v>
      </c>
    </row>
    <row r="26" spans="1:36" x14ac:dyDescent="0.25">
      <c r="A26">
        <v>6988</v>
      </c>
      <c r="B26">
        <v>2797</v>
      </c>
      <c r="C26">
        <v>1831</v>
      </c>
      <c r="D26">
        <v>5</v>
      </c>
      <c r="E26">
        <v>19</v>
      </c>
      <c r="F26">
        <v>11759</v>
      </c>
      <c r="G26">
        <v>7.49</v>
      </c>
      <c r="H26">
        <v>12.42</v>
      </c>
      <c r="I26">
        <v>5.69</v>
      </c>
      <c r="J26">
        <v>0.01</v>
      </c>
      <c r="K26">
        <v>0.04</v>
      </c>
      <c r="L26">
        <v>24.36</v>
      </c>
      <c r="M26">
        <v>8.69</v>
      </c>
      <c r="N26">
        <v>18.2</v>
      </c>
      <c r="O26">
        <v>16.079999999999998</v>
      </c>
      <c r="P26">
        <v>4.07</v>
      </c>
      <c r="Q26">
        <v>24.83</v>
      </c>
      <c r="R26">
        <v>32.479999999999997</v>
      </c>
      <c r="S26">
        <v>24.88</v>
      </c>
      <c r="T26">
        <v>2078</v>
      </c>
      <c r="U26">
        <v>1904</v>
      </c>
      <c r="V26">
        <v>1136</v>
      </c>
      <c r="W26">
        <v>943</v>
      </c>
      <c r="X26">
        <v>8222</v>
      </c>
      <c r="Y26">
        <v>847</v>
      </c>
      <c r="Z26">
        <v>5300</v>
      </c>
      <c r="AA26">
        <v>1859</v>
      </c>
      <c r="AB26">
        <v>15.738</v>
      </c>
      <c r="AC26">
        <v>16228</v>
      </c>
      <c r="AD26">
        <v>0.4</v>
      </c>
      <c r="AE26" s="1">
        <v>0.50340500420843204</v>
      </c>
      <c r="AF26" s="10">
        <v>1.3037268416631101E-2</v>
      </c>
      <c r="AG26">
        <v>4.3905388161818201E-2</v>
      </c>
      <c r="AH26">
        <v>32.4762024719397</v>
      </c>
      <c r="AI26">
        <v>8.69</v>
      </c>
      <c r="AJ26">
        <v>18.2</v>
      </c>
    </row>
    <row r="27" spans="1:36" x14ac:dyDescent="0.25">
      <c r="A27">
        <v>14933</v>
      </c>
      <c r="B27">
        <v>322</v>
      </c>
      <c r="C27">
        <v>2498</v>
      </c>
      <c r="D27">
        <v>1</v>
      </c>
      <c r="E27">
        <v>58</v>
      </c>
      <c r="F27">
        <v>12234</v>
      </c>
      <c r="G27">
        <v>16</v>
      </c>
      <c r="H27">
        <v>1.43</v>
      </c>
      <c r="I27">
        <v>7.76</v>
      </c>
      <c r="J27">
        <v>0</v>
      </c>
      <c r="K27">
        <v>0.12</v>
      </c>
      <c r="L27">
        <v>25.34</v>
      </c>
      <c r="M27">
        <v>1</v>
      </c>
      <c r="N27">
        <v>24.84</v>
      </c>
      <c r="O27">
        <v>25.54</v>
      </c>
      <c r="P27">
        <v>8.99</v>
      </c>
      <c r="Q27">
        <v>24.82</v>
      </c>
      <c r="R27">
        <v>33.79</v>
      </c>
      <c r="S27">
        <v>2.99</v>
      </c>
      <c r="T27">
        <v>2077</v>
      </c>
      <c r="U27">
        <v>1904</v>
      </c>
      <c r="V27">
        <v>1182</v>
      </c>
      <c r="W27">
        <v>1283</v>
      </c>
      <c r="X27">
        <v>6724</v>
      </c>
      <c r="Y27">
        <v>740</v>
      </c>
      <c r="Z27">
        <v>5519</v>
      </c>
      <c r="AA27">
        <v>2346</v>
      </c>
      <c r="AB27">
        <v>12.837999999999999</v>
      </c>
      <c r="AC27">
        <v>15329</v>
      </c>
      <c r="AD27">
        <v>0.66</v>
      </c>
      <c r="AE27" s="1">
        <v>0.40821792026933901</v>
      </c>
      <c r="AF27" s="10">
        <v>2.3889728631608701E-3</v>
      </c>
      <c r="AG27">
        <v>0.13242544542266099</v>
      </c>
      <c r="AH27">
        <v>33.785934384257601</v>
      </c>
      <c r="AI27">
        <v>1</v>
      </c>
      <c r="AJ27">
        <v>24.84</v>
      </c>
    </row>
    <row r="28" spans="1:36" x14ac:dyDescent="0.25">
      <c r="A28">
        <v>5647</v>
      </c>
      <c r="B28">
        <v>3947</v>
      </c>
      <c r="C28">
        <v>1365</v>
      </c>
      <c r="D28">
        <v>1</v>
      </c>
      <c r="E28">
        <v>76</v>
      </c>
      <c r="F28">
        <v>12215</v>
      </c>
      <c r="G28">
        <v>6.05</v>
      </c>
      <c r="H28">
        <v>17.52</v>
      </c>
      <c r="I28">
        <v>4.24</v>
      </c>
      <c r="J28">
        <v>0</v>
      </c>
      <c r="K28">
        <v>0.16</v>
      </c>
      <c r="L28">
        <v>25.3</v>
      </c>
      <c r="M28">
        <v>12.26</v>
      </c>
      <c r="N28">
        <v>13.58</v>
      </c>
      <c r="O28">
        <v>11.9</v>
      </c>
      <c r="P28">
        <v>5.01</v>
      </c>
      <c r="Q28">
        <v>24.82</v>
      </c>
      <c r="R28">
        <v>33.729999999999997</v>
      </c>
      <c r="S28">
        <v>35.21</v>
      </c>
      <c r="T28">
        <v>2077</v>
      </c>
      <c r="U28">
        <v>1904</v>
      </c>
      <c r="V28">
        <v>1180</v>
      </c>
      <c r="W28">
        <v>613</v>
      </c>
      <c r="X28">
        <v>8824</v>
      </c>
      <c r="Y28">
        <v>952</v>
      </c>
      <c r="Z28">
        <v>5145</v>
      </c>
      <c r="AA28">
        <v>1984</v>
      </c>
      <c r="AB28">
        <v>16.081</v>
      </c>
      <c r="AC28">
        <v>16905</v>
      </c>
      <c r="AD28">
        <v>0.35</v>
      </c>
      <c r="AE28" s="1">
        <v>0.55038641058994497</v>
      </c>
      <c r="AF28" s="10">
        <v>3.2595320903930801E-3</v>
      </c>
      <c r="AG28">
        <v>0.17571254693768101</v>
      </c>
      <c r="AH28">
        <v>33.733485885357801</v>
      </c>
      <c r="AI28">
        <v>12.26</v>
      </c>
      <c r="AJ28">
        <v>13.58</v>
      </c>
    </row>
    <row r="29" spans="1:36" x14ac:dyDescent="0.25">
      <c r="A29">
        <v>12388</v>
      </c>
      <c r="B29">
        <v>1535</v>
      </c>
      <c r="C29">
        <v>2116</v>
      </c>
      <c r="D29">
        <v>1</v>
      </c>
      <c r="E29">
        <v>371</v>
      </c>
      <c r="F29">
        <v>11935</v>
      </c>
      <c r="G29">
        <v>13.27</v>
      </c>
      <c r="H29">
        <v>6.81</v>
      </c>
      <c r="I29">
        <v>6.58</v>
      </c>
      <c r="J29">
        <v>0</v>
      </c>
      <c r="K29">
        <v>0.77</v>
      </c>
      <c r="L29">
        <v>24.72</v>
      </c>
      <c r="M29">
        <v>4.7699999999999996</v>
      </c>
      <c r="N29">
        <v>21.04</v>
      </c>
      <c r="O29">
        <v>20.16</v>
      </c>
      <c r="P29">
        <v>7.45</v>
      </c>
      <c r="Q29">
        <v>24.82</v>
      </c>
      <c r="R29">
        <v>32.96</v>
      </c>
      <c r="S29">
        <v>14.48</v>
      </c>
      <c r="T29">
        <v>2077</v>
      </c>
      <c r="U29">
        <v>1904</v>
      </c>
      <c r="V29">
        <v>1153</v>
      </c>
      <c r="W29">
        <v>1024</v>
      </c>
      <c r="X29">
        <v>7425</v>
      </c>
      <c r="Y29">
        <v>823</v>
      </c>
      <c r="Z29">
        <v>5392</v>
      </c>
      <c r="AA29">
        <v>2294</v>
      </c>
      <c r="AB29" s="9">
        <v>13.856</v>
      </c>
      <c r="AC29" s="9">
        <v>15934</v>
      </c>
      <c r="AD29" s="9">
        <v>0.54</v>
      </c>
      <c r="AE29" s="1">
        <v>0.45496977580533998</v>
      </c>
      <c r="AF29" s="10">
        <v>3.7877056690558998E-3</v>
      </c>
      <c r="AG29">
        <v>0.85279216061460195</v>
      </c>
      <c r="AH29">
        <v>32.960946084419597</v>
      </c>
      <c r="AI29">
        <v>4.7699999999999996</v>
      </c>
      <c r="AJ29">
        <v>21.04</v>
      </c>
    </row>
    <row r="30" spans="1:36" x14ac:dyDescent="0.25">
      <c r="A30">
        <v>5599</v>
      </c>
      <c r="B30">
        <v>5189</v>
      </c>
      <c r="C30">
        <v>2788</v>
      </c>
      <c r="D30">
        <v>17</v>
      </c>
      <c r="E30">
        <v>42</v>
      </c>
      <c r="F30">
        <v>3542</v>
      </c>
      <c r="G30">
        <v>6</v>
      </c>
      <c r="H30">
        <v>23.03</v>
      </c>
      <c r="I30">
        <v>8.66</v>
      </c>
      <c r="J30">
        <v>0.04</v>
      </c>
      <c r="K30">
        <v>0.09</v>
      </c>
      <c r="L30">
        <v>7.34</v>
      </c>
      <c r="M30">
        <v>16.12</v>
      </c>
      <c r="N30">
        <v>27.72</v>
      </c>
      <c r="O30">
        <v>11.32</v>
      </c>
      <c r="P30">
        <v>5.47</v>
      </c>
      <c r="Q30">
        <v>24.86</v>
      </c>
      <c r="R30">
        <v>9.7799999999999994</v>
      </c>
      <c r="S30">
        <v>46.16</v>
      </c>
      <c r="T30">
        <v>2083</v>
      </c>
      <c r="U30">
        <v>1904</v>
      </c>
      <c r="V30">
        <v>342</v>
      </c>
      <c r="W30">
        <v>548</v>
      </c>
      <c r="X30">
        <v>8868</v>
      </c>
      <c r="Y30">
        <v>993</v>
      </c>
      <c r="Z30">
        <v>5614</v>
      </c>
      <c r="AA30">
        <v>2534</v>
      </c>
      <c r="AB30">
        <v>17.966999999999999</v>
      </c>
      <c r="AC30">
        <v>18009</v>
      </c>
      <c r="AD30">
        <v>0.32</v>
      </c>
      <c r="AE30" s="1">
        <v>0.63004055398270697</v>
      </c>
      <c r="AF30" s="10">
        <v>4.4680593216864503E-2</v>
      </c>
      <c r="AG30">
        <v>9.7754676574048197E-2</v>
      </c>
      <c r="AH30">
        <v>9.7827570358829607</v>
      </c>
      <c r="AI30">
        <v>16.12</v>
      </c>
      <c r="AJ30">
        <v>27.72</v>
      </c>
    </row>
    <row r="31" spans="1:36" x14ac:dyDescent="0.25">
      <c r="A31">
        <v>14997</v>
      </c>
      <c r="B31">
        <v>5038</v>
      </c>
      <c r="C31">
        <v>1023</v>
      </c>
      <c r="D31">
        <v>5</v>
      </c>
      <c r="E31">
        <v>46</v>
      </c>
      <c r="F31">
        <v>12250</v>
      </c>
      <c r="G31">
        <v>16.07</v>
      </c>
      <c r="H31">
        <v>22.36</v>
      </c>
      <c r="I31">
        <v>3.18</v>
      </c>
      <c r="J31">
        <v>0.01</v>
      </c>
      <c r="K31">
        <v>0.1</v>
      </c>
      <c r="L31">
        <v>25.37</v>
      </c>
      <c r="M31">
        <v>15.65</v>
      </c>
      <c r="N31">
        <v>10.17</v>
      </c>
      <c r="O31">
        <v>7.57</v>
      </c>
      <c r="P31">
        <v>16.600000000000001</v>
      </c>
      <c r="Q31">
        <v>24.83</v>
      </c>
      <c r="R31">
        <v>33.83</v>
      </c>
      <c r="S31">
        <v>44.83</v>
      </c>
      <c r="T31">
        <v>2078</v>
      </c>
      <c r="U31">
        <v>1904</v>
      </c>
      <c r="V31">
        <v>1184</v>
      </c>
      <c r="W31">
        <v>-320</v>
      </c>
      <c r="X31">
        <v>8722</v>
      </c>
      <c r="Y31">
        <v>1259</v>
      </c>
      <c r="Z31">
        <v>5032</v>
      </c>
      <c r="AA31">
        <v>3703</v>
      </c>
      <c r="AB31">
        <v>12.552</v>
      </c>
      <c r="AC31">
        <v>18716</v>
      </c>
      <c r="AD31">
        <v>0.51</v>
      </c>
      <c r="AE31" s="1">
        <v>0.59094039329711501</v>
      </c>
      <c r="AF31" s="10">
        <v>1.28260252515247E-2</v>
      </c>
      <c r="AG31">
        <v>0.10686048408301201</v>
      </c>
      <c r="AH31">
        <v>33.830676879970298</v>
      </c>
      <c r="AI31">
        <v>15.65</v>
      </c>
      <c r="AJ31">
        <v>10.17</v>
      </c>
    </row>
    <row r="32" spans="1:36" x14ac:dyDescent="0.25">
      <c r="A32">
        <v>7036</v>
      </c>
      <c r="B32">
        <v>2228</v>
      </c>
      <c r="C32">
        <v>2057</v>
      </c>
      <c r="D32">
        <v>4</v>
      </c>
      <c r="E32">
        <v>45</v>
      </c>
      <c r="F32">
        <v>11503</v>
      </c>
      <c r="G32">
        <v>7.54</v>
      </c>
      <c r="H32">
        <v>9.89</v>
      </c>
      <c r="I32">
        <v>6.39</v>
      </c>
      <c r="J32">
        <v>0.01</v>
      </c>
      <c r="K32">
        <v>0.09</v>
      </c>
      <c r="L32">
        <v>23.83</v>
      </c>
      <c r="M32">
        <v>6.92</v>
      </c>
      <c r="N32">
        <v>20.45</v>
      </c>
      <c r="O32">
        <v>18.78</v>
      </c>
      <c r="P32">
        <v>3.6</v>
      </c>
      <c r="Q32">
        <v>24.83</v>
      </c>
      <c r="R32">
        <v>31.77</v>
      </c>
      <c r="S32">
        <v>19.88</v>
      </c>
      <c r="T32">
        <v>2078</v>
      </c>
      <c r="U32">
        <v>1904</v>
      </c>
      <c r="V32">
        <v>1112</v>
      </c>
      <c r="W32">
        <v>1143</v>
      </c>
      <c r="X32">
        <v>7967</v>
      </c>
      <c r="Y32">
        <v>783</v>
      </c>
      <c r="Z32">
        <v>5373</v>
      </c>
      <c r="AA32">
        <v>1701</v>
      </c>
      <c r="AB32">
        <v>15.814</v>
      </c>
      <c r="AC32">
        <v>15824</v>
      </c>
      <c r="AD32">
        <v>0.44</v>
      </c>
      <c r="AE32" s="1">
        <v>0.48580610605249003</v>
      </c>
      <c r="AF32" s="10">
        <v>9.4661505781365504E-3</v>
      </c>
      <c r="AG32">
        <v>0.103211571548063</v>
      </c>
      <c r="AH32">
        <v>31.769444493587699</v>
      </c>
      <c r="AI32">
        <v>6.92</v>
      </c>
      <c r="AJ32">
        <v>20.45</v>
      </c>
    </row>
    <row r="33" spans="1:36" x14ac:dyDescent="0.25">
      <c r="A33">
        <v>9073</v>
      </c>
      <c r="B33">
        <v>3705</v>
      </c>
      <c r="C33">
        <v>1407</v>
      </c>
      <c r="D33">
        <v>20</v>
      </c>
      <c r="E33">
        <v>221</v>
      </c>
      <c r="F33">
        <v>12215</v>
      </c>
      <c r="G33">
        <v>9.7200000000000006</v>
      </c>
      <c r="H33">
        <v>16.440000000000001</v>
      </c>
      <c r="I33">
        <v>4.37</v>
      </c>
      <c r="J33">
        <v>0.04</v>
      </c>
      <c r="K33">
        <v>0.46</v>
      </c>
      <c r="L33">
        <v>25.3</v>
      </c>
      <c r="M33">
        <v>11.51</v>
      </c>
      <c r="N33">
        <v>13.99</v>
      </c>
      <c r="O33">
        <v>11.64</v>
      </c>
      <c r="P33">
        <v>7.21</v>
      </c>
      <c r="Q33">
        <v>24.87</v>
      </c>
      <c r="R33">
        <v>33.729999999999997</v>
      </c>
      <c r="S33">
        <v>33.4</v>
      </c>
      <c r="T33">
        <v>2084</v>
      </c>
      <c r="U33">
        <v>1904</v>
      </c>
      <c r="V33">
        <v>1180</v>
      </c>
      <c r="W33">
        <v>482</v>
      </c>
      <c r="X33">
        <v>8544</v>
      </c>
      <c r="Y33">
        <v>996</v>
      </c>
      <c r="Z33">
        <v>5158</v>
      </c>
      <c r="AA33">
        <v>2422</v>
      </c>
      <c r="AB33">
        <v>14.872</v>
      </c>
      <c r="AC33">
        <v>17120</v>
      </c>
      <c r="AD33">
        <v>0.39</v>
      </c>
      <c r="AE33" s="1">
        <v>0.53492998699211802</v>
      </c>
      <c r="AF33" s="10">
        <v>5.2930471359215803E-2</v>
      </c>
      <c r="AG33">
        <v>0.50844517876376205</v>
      </c>
      <c r="AH33">
        <v>33.734433532234398</v>
      </c>
      <c r="AI33">
        <v>11.51</v>
      </c>
      <c r="AJ33">
        <v>13.99</v>
      </c>
    </row>
    <row r="34" spans="1:36" x14ac:dyDescent="0.25">
      <c r="A34">
        <v>5585</v>
      </c>
      <c r="B34">
        <v>323</v>
      </c>
      <c r="C34">
        <v>2659</v>
      </c>
      <c r="D34">
        <v>1</v>
      </c>
      <c r="E34">
        <v>14</v>
      </c>
      <c r="F34">
        <v>11503</v>
      </c>
      <c r="G34">
        <v>5.98</v>
      </c>
      <c r="H34">
        <v>1.43</v>
      </c>
      <c r="I34">
        <v>8.26</v>
      </c>
      <c r="J34">
        <v>0</v>
      </c>
      <c r="K34">
        <v>0.03</v>
      </c>
      <c r="L34">
        <v>23.83</v>
      </c>
      <c r="M34">
        <v>1</v>
      </c>
      <c r="N34">
        <v>26.44</v>
      </c>
      <c r="O34">
        <v>28.96</v>
      </c>
      <c r="P34">
        <v>1.89</v>
      </c>
      <c r="Q34">
        <v>24.82</v>
      </c>
      <c r="R34">
        <v>31.77</v>
      </c>
      <c r="S34">
        <v>2.9</v>
      </c>
      <c r="T34">
        <v>2077</v>
      </c>
      <c r="U34">
        <v>1904</v>
      </c>
      <c r="V34">
        <v>1112</v>
      </c>
      <c r="W34">
        <v>1877</v>
      </c>
      <c r="X34">
        <v>7240</v>
      </c>
      <c r="Y34">
        <v>545</v>
      </c>
      <c r="Z34">
        <v>5572</v>
      </c>
      <c r="AA34">
        <v>940</v>
      </c>
      <c r="AB34">
        <v>16.446000000000002</v>
      </c>
      <c r="AC34">
        <v>14297</v>
      </c>
      <c r="AD34">
        <v>0.59</v>
      </c>
      <c r="AE34" s="1">
        <v>0.43369806412120199</v>
      </c>
      <c r="AF34" s="10">
        <v>1.35115692076366E-3</v>
      </c>
      <c r="AG34">
        <v>3.1289742051640597E-2</v>
      </c>
      <c r="AH34">
        <v>31.769600162729699</v>
      </c>
      <c r="AI34">
        <v>1</v>
      </c>
      <c r="AJ34">
        <v>26.44</v>
      </c>
    </row>
    <row r="35" spans="1:36" x14ac:dyDescent="0.25">
      <c r="A35">
        <v>5816</v>
      </c>
      <c r="B35">
        <v>704</v>
      </c>
      <c r="C35">
        <v>2499</v>
      </c>
      <c r="D35">
        <v>12</v>
      </c>
      <c r="E35">
        <v>241</v>
      </c>
      <c r="F35">
        <v>11463</v>
      </c>
      <c r="G35">
        <v>6.23</v>
      </c>
      <c r="H35">
        <v>3.12</v>
      </c>
      <c r="I35">
        <v>7.76</v>
      </c>
      <c r="J35">
        <v>0.03</v>
      </c>
      <c r="K35">
        <v>0.5</v>
      </c>
      <c r="L35">
        <v>23.74</v>
      </c>
      <c r="M35">
        <v>2.19</v>
      </c>
      <c r="N35">
        <v>24.84</v>
      </c>
      <c r="O35">
        <v>26.74</v>
      </c>
      <c r="P35">
        <v>2.11</v>
      </c>
      <c r="Q35">
        <v>24.85</v>
      </c>
      <c r="R35">
        <v>31.66</v>
      </c>
      <c r="S35">
        <v>6.8</v>
      </c>
      <c r="T35">
        <v>2081</v>
      </c>
      <c r="U35">
        <v>1904</v>
      </c>
      <c r="V35">
        <v>1108</v>
      </c>
      <c r="W35">
        <v>1726</v>
      </c>
      <c r="X35">
        <v>7425</v>
      </c>
      <c r="Y35">
        <v>593</v>
      </c>
      <c r="Z35">
        <v>5519</v>
      </c>
      <c r="AA35">
        <v>1072</v>
      </c>
      <c r="AB35">
        <v>16.41</v>
      </c>
      <c r="AC35">
        <v>14609</v>
      </c>
      <c r="AD35">
        <v>0.56000000000000005</v>
      </c>
      <c r="AE35" s="1">
        <v>0.44678246231540197</v>
      </c>
      <c r="AF35" s="10">
        <v>3.2299760671477197E-2</v>
      </c>
      <c r="AG35">
        <v>0.55566886673670501</v>
      </c>
      <c r="AH35">
        <v>31.659030100172401</v>
      </c>
      <c r="AI35">
        <v>2.19</v>
      </c>
      <c r="AJ35">
        <v>24.84</v>
      </c>
    </row>
    <row r="36" spans="1:36" x14ac:dyDescent="0.25">
      <c r="A36">
        <v>13310</v>
      </c>
      <c r="B36">
        <v>933</v>
      </c>
      <c r="C36">
        <v>2303</v>
      </c>
      <c r="D36">
        <v>13</v>
      </c>
      <c r="E36">
        <v>66</v>
      </c>
      <c r="F36">
        <v>12233</v>
      </c>
      <c r="G36">
        <v>14.26</v>
      </c>
      <c r="H36">
        <v>4.1399999999999997</v>
      </c>
      <c r="I36">
        <v>7.16</v>
      </c>
      <c r="J36">
        <v>0.03</v>
      </c>
      <c r="K36">
        <v>0.14000000000000001</v>
      </c>
      <c r="L36">
        <v>25.34</v>
      </c>
      <c r="M36">
        <v>2.9</v>
      </c>
      <c r="N36">
        <v>22.9</v>
      </c>
      <c r="O36">
        <v>22.85</v>
      </c>
      <c r="P36">
        <v>7.87</v>
      </c>
      <c r="Q36">
        <v>24.85</v>
      </c>
      <c r="R36">
        <v>33.78</v>
      </c>
      <c r="S36">
        <v>8.43</v>
      </c>
      <c r="T36">
        <v>2081</v>
      </c>
      <c r="U36">
        <v>1904</v>
      </c>
      <c r="V36">
        <v>1182</v>
      </c>
      <c r="W36">
        <v>1173</v>
      </c>
      <c r="X36">
        <v>7087</v>
      </c>
      <c r="Y36">
        <v>775</v>
      </c>
      <c r="Z36">
        <v>5455</v>
      </c>
      <c r="AA36">
        <v>2276</v>
      </c>
      <c r="AB36">
        <v>13.412000000000001</v>
      </c>
      <c r="AC36">
        <v>15593</v>
      </c>
      <c r="AD36">
        <v>0.6</v>
      </c>
      <c r="AE36" s="1">
        <v>0.429489631953477</v>
      </c>
      <c r="AF36" s="10">
        <v>3.2424262008968099E-2</v>
      </c>
      <c r="AG36">
        <v>0.15145784980913701</v>
      </c>
      <c r="AH36">
        <v>33.784762291803702</v>
      </c>
      <c r="AI36">
        <v>2.9</v>
      </c>
      <c r="AJ36">
        <v>22.9</v>
      </c>
    </row>
    <row r="37" spans="1:36" x14ac:dyDescent="0.25">
      <c r="A37">
        <v>5774</v>
      </c>
      <c r="B37">
        <v>2095</v>
      </c>
      <c r="C37">
        <v>2599</v>
      </c>
      <c r="D37">
        <v>80</v>
      </c>
      <c r="E37">
        <v>224</v>
      </c>
      <c r="F37">
        <v>8845</v>
      </c>
      <c r="G37">
        <v>6.19</v>
      </c>
      <c r="H37">
        <v>9.3000000000000007</v>
      </c>
      <c r="I37">
        <v>8.08</v>
      </c>
      <c r="J37">
        <v>0.17</v>
      </c>
      <c r="K37">
        <v>0.46</v>
      </c>
      <c r="L37">
        <v>18.32</v>
      </c>
      <c r="M37">
        <v>6.51</v>
      </c>
      <c r="N37">
        <v>25.84</v>
      </c>
      <c r="O37">
        <v>21.3</v>
      </c>
      <c r="P37">
        <v>2.4900000000000002</v>
      </c>
      <c r="Q37">
        <v>25.03</v>
      </c>
      <c r="R37">
        <v>24.43</v>
      </c>
      <c r="S37">
        <v>19.11</v>
      </c>
      <c r="T37">
        <v>2106</v>
      </c>
      <c r="U37">
        <v>1904</v>
      </c>
      <c r="V37">
        <v>855</v>
      </c>
      <c r="W37">
        <v>1361</v>
      </c>
      <c r="X37">
        <v>7891</v>
      </c>
      <c r="Y37">
        <v>717</v>
      </c>
      <c r="Z37">
        <v>5553</v>
      </c>
      <c r="AA37">
        <v>1451</v>
      </c>
      <c r="AB37">
        <v>16.960999999999999</v>
      </c>
      <c r="AC37">
        <v>15612</v>
      </c>
      <c r="AD37">
        <v>0.46</v>
      </c>
      <c r="AE37" s="1">
        <v>0.50072691101078803</v>
      </c>
      <c r="AF37" s="10">
        <v>0.20668186837071301</v>
      </c>
      <c r="AG37">
        <v>0.51643984540696397</v>
      </c>
      <c r="AH37">
        <v>24.427169070462401</v>
      </c>
      <c r="AI37">
        <v>6.51</v>
      </c>
      <c r="AJ37">
        <v>25.84</v>
      </c>
    </row>
    <row r="38" spans="1:36" x14ac:dyDescent="0.25">
      <c r="A38">
        <v>14135</v>
      </c>
      <c r="B38">
        <v>2317</v>
      </c>
      <c r="C38">
        <v>1902</v>
      </c>
      <c r="D38">
        <v>3</v>
      </c>
      <c r="E38">
        <v>116</v>
      </c>
      <c r="F38">
        <v>12042</v>
      </c>
      <c r="G38">
        <v>15.14</v>
      </c>
      <c r="H38">
        <v>10.28</v>
      </c>
      <c r="I38">
        <v>5.91</v>
      </c>
      <c r="J38">
        <v>0.01</v>
      </c>
      <c r="K38">
        <v>0.24</v>
      </c>
      <c r="L38">
        <v>24.94</v>
      </c>
      <c r="M38">
        <v>7.2</v>
      </c>
      <c r="N38">
        <v>18.91</v>
      </c>
      <c r="O38">
        <v>16.34</v>
      </c>
      <c r="P38">
        <v>9.64</v>
      </c>
      <c r="Q38">
        <v>24.83</v>
      </c>
      <c r="R38">
        <v>33.26</v>
      </c>
      <c r="S38">
        <v>20.83</v>
      </c>
      <c r="T38">
        <v>2078</v>
      </c>
      <c r="U38">
        <v>1904</v>
      </c>
      <c r="V38">
        <v>1164</v>
      </c>
      <c r="W38">
        <v>660</v>
      </c>
      <c r="X38">
        <v>7618</v>
      </c>
      <c r="Y38">
        <v>942</v>
      </c>
      <c r="Z38">
        <v>5321</v>
      </c>
      <c r="AA38">
        <v>2792</v>
      </c>
      <c r="AB38">
        <v>13.082000000000001</v>
      </c>
      <c r="AC38">
        <v>16673</v>
      </c>
      <c r="AD38">
        <v>0.52</v>
      </c>
      <c r="AE38" s="1">
        <v>0.47440508072538001</v>
      </c>
      <c r="AF38" s="10">
        <v>7.36882080199953E-3</v>
      </c>
      <c r="AG38">
        <v>0.26717817542074201</v>
      </c>
      <c r="AH38">
        <v>33.257670469658699</v>
      </c>
      <c r="AI38">
        <v>7.2</v>
      </c>
      <c r="AJ38">
        <v>18.91</v>
      </c>
    </row>
    <row r="39" spans="1:36" x14ac:dyDescent="0.25">
      <c r="A39">
        <v>8276</v>
      </c>
      <c r="B39">
        <v>1117</v>
      </c>
      <c r="C39">
        <v>2345</v>
      </c>
      <c r="D39">
        <v>4</v>
      </c>
      <c r="E39">
        <v>189</v>
      </c>
      <c r="F39">
        <v>11645</v>
      </c>
      <c r="G39">
        <v>8.8699999999999992</v>
      </c>
      <c r="H39">
        <v>4.96</v>
      </c>
      <c r="I39">
        <v>7.28</v>
      </c>
      <c r="J39">
        <v>0.01</v>
      </c>
      <c r="K39">
        <v>0.39</v>
      </c>
      <c r="L39">
        <v>24.12</v>
      </c>
      <c r="M39">
        <v>3.47</v>
      </c>
      <c r="N39">
        <v>23.31</v>
      </c>
      <c r="O39">
        <v>23.56</v>
      </c>
      <c r="P39">
        <v>3.88</v>
      </c>
      <c r="Q39">
        <v>24.83</v>
      </c>
      <c r="R39">
        <v>32.159999999999997</v>
      </c>
      <c r="S39">
        <v>10.35</v>
      </c>
      <c r="T39">
        <v>2078</v>
      </c>
      <c r="U39">
        <v>1904</v>
      </c>
      <c r="V39">
        <v>1125</v>
      </c>
      <c r="W39">
        <v>1433</v>
      </c>
      <c r="X39">
        <v>7451</v>
      </c>
      <c r="Y39">
        <v>689</v>
      </c>
      <c r="Z39">
        <v>5469</v>
      </c>
      <c r="AA39">
        <v>1564</v>
      </c>
      <c r="AB39">
        <v>15.420999999999999</v>
      </c>
      <c r="AC39">
        <v>15173</v>
      </c>
      <c r="AD39">
        <v>0.53</v>
      </c>
      <c r="AE39" s="1">
        <v>0.44946055551304598</v>
      </c>
      <c r="AF39" s="10">
        <v>1.0391969174642701E-2</v>
      </c>
      <c r="AG39">
        <v>0.43546390261018902</v>
      </c>
      <c r="AH39">
        <v>32.159970401033</v>
      </c>
      <c r="AI39">
        <v>3.47</v>
      </c>
      <c r="AJ39">
        <v>23.31</v>
      </c>
    </row>
    <row r="40" spans="1:36" x14ac:dyDescent="0.25">
      <c r="A40">
        <v>13794</v>
      </c>
      <c r="B40">
        <v>3804</v>
      </c>
      <c r="C40">
        <v>1407</v>
      </c>
      <c r="D40">
        <v>14</v>
      </c>
      <c r="E40">
        <v>102</v>
      </c>
      <c r="F40">
        <v>12191</v>
      </c>
      <c r="G40">
        <v>14.78</v>
      </c>
      <c r="H40">
        <v>16.88</v>
      </c>
      <c r="I40">
        <v>4.37</v>
      </c>
      <c r="J40">
        <v>0.03</v>
      </c>
      <c r="K40">
        <v>0.21</v>
      </c>
      <c r="L40">
        <v>25.25</v>
      </c>
      <c r="M40">
        <v>11.82</v>
      </c>
      <c r="N40">
        <v>13.99</v>
      </c>
      <c r="O40">
        <v>10.58</v>
      </c>
      <c r="P40">
        <v>11.65</v>
      </c>
      <c r="Q40">
        <v>24.86</v>
      </c>
      <c r="R40">
        <v>33.67</v>
      </c>
      <c r="S40">
        <v>34</v>
      </c>
      <c r="T40">
        <v>2082</v>
      </c>
      <c r="U40">
        <v>1904</v>
      </c>
      <c r="V40">
        <v>1178</v>
      </c>
      <c r="W40">
        <v>171</v>
      </c>
      <c r="X40">
        <v>8280</v>
      </c>
      <c r="Y40">
        <v>1100</v>
      </c>
      <c r="Z40">
        <v>5158</v>
      </c>
      <c r="AA40">
        <v>3167</v>
      </c>
      <c r="AB40">
        <v>13.095000000000001</v>
      </c>
      <c r="AC40">
        <v>17705</v>
      </c>
      <c r="AD40">
        <v>0.46</v>
      </c>
      <c r="AE40" s="1">
        <v>0.53133369041242595</v>
      </c>
      <c r="AF40" s="10">
        <v>3.6280921563354503E-2</v>
      </c>
      <c r="AG40">
        <v>0.23575745585204899</v>
      </c>
      <c r="AH40">
        <v>33.669119502931601</v>
      </c>
      <c r="AI40">
        <v>11.82</v>
      </c>
      <c r="AJ40">
        <v>13.99</v>
      </c>
    </row>
    <row r="41" spans="1:36" x14ac:dyDescent="0.25">
      <c r="A41">
        <v>7074</v>
      </c>
      <c r="B41">
        <v>319</v>
      </c>
      <c r="C41">
        <v>2593</v>
      </c>
      <c r="D41">
        <v>4</v>
      </c>
      <c r="E41">
        <v>328</v>
      </c>
      <c r="F41">
        <v>11510</v>
      </c>
      <c r="G41">
        <v>7.58</v>
      </c>
      <c r="H41">
        <v>1.42</v>
      </c>
      <c r="I41">
        <v>8.06</v>
      </c>
      <c r="J41">
        <v>0.01</v>
      </c>
      <c r="K41">
        <v>0.68</v>
      </c>
      <c r="L41">
        <v>23.84</v>
      </c>
      <c r="M41">
        <v>0.99</v>
      </c>
      <c r="N41">
        <v>25.78</v>
      </c>
      <c r="O41">
        <v>28.09</v>
      </c>
      <c r="P41">
        <v>2.81</v>
      </c>
      <c r="Q41">
        <v>24.83</v>
      </c>
      <c r="R41">
        <v>31.79</v>
      </c>
      <c r="S41">
        <v>3.59</v>
      </c>
      <c r="T41">
        <v>2078</v>
      </c>
      <c r="U41">
        <v>1904</v>
      </c>
      <c r="V41">
        <v>1112</v>
      </c>
      <c r="W41">
        <v>1776</v>
      </c>
      <c r="X41">
        <v>7200</v>
      </c>
      <c r="Y41">
        <v>578</v>
      </c>
      <c r="Z41">
        <v>5550</v>
      </c>
      <c r="AA41">
        <v>1148</v>
      </c>
      <c r="AB41">
        <v>15.973000000000001</v>
      </c>
      <c r="AC41">
        <v>14476</v>
      </c>
      <c r="AD41">
        <v>0.59</v>
      </c>
      <c r="AE41" s="1">
        <v>0.43239727599663302</v>
      </c>
      <c r="AF41" s="10">
        <v>1.0391969174642701E-2</v>
      </c>
      <c r="AG41">
        <v>0.75471190896750595</v>
      </c>
      <c r="AH41">
        <v>31.7868030251934</v>
      </c>
      <c r="AI41">
        <v>0.99</v>
      </c>
      <c r="AJ41">
        <v>25.78</v>
      </c>
    </row>
    <row r="42" spans="1:36" x14ac:dyDescent="0.25">
      <c r="A42">
        <v>7875</v>
      </c>
      <c r="B42">
        <v>3978</v>
      </c>
      <c r="C42">
        <v>1356</v>
      </c>
      <c r="D42">
        <v>3</v>
      </c>
      <c r="E42">
        <v>49</v>
      </c>
      <c r="F42">
        <v>12240</v>
      </c>
      <c r="G42">
        <v>8.44</v>
      </c>
      <c r="H42">
        <v>17.649999999999999</v>
      </c>
      <c r="I42">
        <v>4.21</v>
      </c>
      <c r="J42">
        <v>0.01</v>
      </c>
      <c r="K42">
        <v>0.1</v>
      </c>
      <c r="L42">
        <v>25.35</v>
      </c>
      <c r="M42">
        <v>12.36</v>
      </c>
      <c r="N42">
        <v>13.48</v>
      </c>
      <c r="O42">
        <v>11.14</v>
      </c>
      <c r="P42">
        <v>6.8</v>
      </c>
      <c r="Q42">
        <v>24.83</v>
      </c>
      <c r="R42">
        <v>33.799999999999997</v>
      </c>
      <c r="S42">
        <v>35.42</v>
      </c>
      <c r="T42">
        <v>2078</v>
      </c>
      <c r="U42">
        <v>1904</v>
      </c>
      <c r="V42">
        <v>1183</v>
      </c>
      <c r="W42">
        <v>469</v>
      </c>
      <c r="X42">
        <v>8701</v>
      </c>
      <c r="Y42">
        <v>1000</v>
      </c>
      <c r="Z42">
        <v>5141</v>
      </c>
      <c r="AA42">
        <v>2329</v>
      </c>
      <c r="AB42">
        <v>15.244999999999999</v>
      </c>
      <c r="AC42">
        <v>17171</v>
      </c>
      <c r="AD42">
        <v>0.37</v>
      </c>
      <c r="AE42" s="1">
        <v>0.54625449537072401</v>
      </c>
      <c r="AF42" s="10">
        <v>8.51292199416381E-3</v>
      </c>
      <c r="AG42">
        <v>0.112994093509569</v>
      </c>
      <c r="AH42">
        <v>33.803144413574202</v>
      </c>
      <c r="AI42">
        <v>12.36</v>
      </c>
      <c r="AJ42">
        <v>13.48</v>
      </c>
    </row>
    <row r="43" spans="1:36" x14ac:dyDescent="0.25">
      <c r="A43">
        <v>6116</v>
      </c>
      <c r="B43">
        <v>4909</v>
      </c>
      <c r="C43">
        <v>2765</v>
      </c>
      <c r="D43">
        <v>5</v>
      </c>
      <c r="E43">
        <v>19</v>
      </c>
      <c r="F43">
        <v>4109</v>
      </c>
      <c r="G43">
        <v>6.55</v>
      </c>
      <c r="H43">
        <v>21.79</v>
      </c>
      <c r="I43">
        <v>8.59</v>
      </c>
      <c r="J43">
        <v>0.01</v>
      </c>
      <c r="K43">
        <v>0.04</v>
      </c>
      <c r="L43">
        <v>8.51</v>
      </c>
      <c r="M43">
        <v>15.25</v>
      </c>
      <c r="N43">
        <v>27.49</v>
      </c>
      <c r="O43">
        <v>11.79</v>
      </c>
      <c r="P43">
        <v>5.32</v>
      </c>
      <c r="Q43">
        <v>24.83</v>
      </c>
      <c r="R43">
        <v>11.35</v>
      </c>
      <c r="S43">
        <v>43.62</v>
      </c>
      <c r="T43">
        <v>2078</v>
      </c>
      <c r="U43">
        <v>1904</v>
      </c>
      <c r="V43">
        <v>397</v>
      </c>
      <c r="W43">
        <v>590</v>
      </c>
      <c r="X43">
        <v>8742</v>
      </c>
      <c r="Y43">
        <v>979</v>
      </c>
      <c r="Z43">
        <v>5607</v>
      </c>
      <c r="AA43">
        <v>2505</v>
      </c>
      <c r="AB43">
        <v>17.654</v>
      </c>
      <c r="AC43">
        <v>17833</v>
      </c>
      <c r="AD43">
        <v>0.32</v>
      </c>
      <c r="AE43" s="1">
        <v>0.61397199479684705</v>
      </c>
      <c r="AF43" s="10">
        <v>1.3279395893256401E-2</v>
      </c>
      <c r="AG43">
        <v>4.3698022893814401E-2</v>
      </c>
      <c r="AH43">
        <v>11.347365681658999</v>
      </c>
      <c r="AI43">
        <v>15.25</v>
      </c>
      <c r="AJ43">
        <v>27.49</v>
      </c>
    </row>
    <row r="44" spans="1:36" x14ac:dyDescent="0.25">
      <c r="A44">
        <v>14737</v>
      </c>
      <c r="B44">
        <v>3942</v>
      </c>
      <c r="C44">
        <v>1394</v>
      </c>
      <c r="D44">
        <v>9</v>
      </c>
      <c r="E44">
        <v>213</v>
      </c>
      <c r="F44">
        <v>11943</v>
      </c>
      <c r="G44">
        <v>15.79</v>
      </c>
      <c r="H44">
        <v>17.5</v>
      </c>
      <c r="I44">
        <v>4.33</v>
      </c>
      <c r="J44">
        <v>0.02</v>
      </c>
      <c r="K44">
        <v>0.44</v>
      </c>
      <c r="L44">
        <v>24.74</v>
      </c>
      <c r="M44">
        <v>12.25</v>
      </c>
      <c r="N44">
        <v>13.85</v>
      </c>
      <c r="O44">
        <v>10.11</v>
      </c>
      <c r="P44">
        <v>12.84</v>
      </c>
      <c r="Q44">
        <v>24.84</v>
      </c>
      <c r="R44">
        <v>32.979999999999997</v>
      </c>
      <c r="S44">
        <v>35.49</v>
      </c>
      <c r="T44">
        <v>2080</v>
      </c>
      <c r="U44">
        <v>1904</v>
      </c>
      <c r="V44">
        <v>1154</v>
      </c>
      <c r="W44">
        <v>73</v>
      </c>
      <c r="X44">
        <v>8283</v>
      </c>
      <c r="Y44">
        <v>1132</v>
      </c>
      <c r="Z44">
        <v>5155</v>
      </c>
      <c r="AA44">
        <v>3342</v>
      </c>
      <c r="AB44">
        <v>12.819000000000001</v>
      </c>
      <c r="AC44">
        <v>17912</v>
      </c>
      <c r="AD44">
        <v>0.47</v>
      </c>
      <c r="AE44" s="1">
        <v>0.53898538526283502</v>
      </c>
      <c r="AF44">
        <v>2.2034268306714899E-2</v>
      </c>
      <c r="AG44">
        <v>0.48989360087390799</v>
      </c>
      <c r="AH44">
        <v>32.984399874714804</v>
      </c>
      <c r="AI44">
        <v>12.25</v>
      </c>
      <c r="AJ44">
        <v>13.85</v>
      </c>
    </row>
    <row r="45" spans="1:36" x14ac:dyDescent="0.25">
      <c r="A45">
        <v>7215</v>
      </c>
      <c r="B45">
        <v>1603</v>
      </c>
      <c r="C45">
        <v>2097</v>
      </c>
      <c r="D45">
        <v>13</v>
      </c>
      <c r="E45">
        <v>174</v>
      </c>
      <c r="F45">
        <v>12111</v>
      </c>
      <c r="G45">
        <v>7.73</v>
      </c>
      <c r="H45">
        <v>7.12</v>
      </c>
      <c r="I45">
        <v>6.51</v>
      </c>
      <c r="J45">
        <v>0.03</v>
      </c>
      <c r="K45">
        <v>0.36</v>
      </c>
      <c r="L45">
        <v>25.09</v>
      </c>
      <c r="M45">
        <v>4.9800000000000004</v>
      </c>
      <c r="N45">
        <v>20.85</v>
      </c>
      <c r="O45">
        <v>21.27</v>
      </c>
      <c r="P45">
        <v>3.38</v>
      </c>
      <c r="Q45">
        <v>24.85</v>
      </c>
      <c r="R45">
        <v>33.450000000000003</v>
      </c>
      <c r="S45">
        <v>14.63</v>
      </c>
      <c r="T45">
        <v>2081</v>
      </c>
      <c r="U45">
        <v>1904</v>
      </c>
      <c r="V45">
        <v>1170</v>
      </c>
      <c r="W45">
        <v>1313</v>
      </c>
      <c r="X45">
        <v>7748</v>
      </c>
      <c r="Y45">
        <v>726</v>
      </c>
      <c r="Z45">
        <v>5387</v>
      </c>
      <c r="AA45">
        <v>1545</v>
      </c>
      <c r="AB45">
        <v>15.682</v>
      </c>
      <c r="AC45">
        <v>15406</v>
      </c>
      <c r="AD45">
        <v>0.49</v>
      </c>
      <c r="AE45" s="1">
        <v>0.46484046216236802</v>
      </c>
      <c r="AF45">
        <v>3.28909084891649E-2</v>
      </c>
      <c r="AG45">
        <v>0.39950110032818198</v>
      </c>
      <c r="AH45">
        <v>33.447558405210998</v>
      </c>
      <c r="AI45">
        <v>4.9800000000000004</v>
      </c>
      <c r="AJ45">
        <v>20.85</v>
      </c>
    </row>
    <row r="46" spans="1:36" x14ac:dyDescent="0.25">
      <c r="A46">
        <v>14717</v>
      </c>
      <c r="B46">
        <v>538</v>
      </c>
      <c r="C46">
        <v>2553</v>
      </c>
      <c r="D46">
        <v>0</v>
      </c>
      <c r="E46">
        <v>23</v>
      </c>
      <c r="F46">
        <v>11684</v>
      </c>
      <c r="G46">
        <v>15.77</v>
      </c>
      <c r="H46">
        <v>2.39</v>
      </c>
      <c r="I46">
        <v>7.93</v>
      </c>
      <c r="J46">
        <v>0</v>
      </c>
      <c r="K46">
        <v>0.05</v>
      </c>
      <c r="L46">
        <v>24.2</v>
      </c>
      <c r="M46">
        <v>1.67</v>
      </c>
      <c r="N46">
        <v>25.38</v>
      </c>
      <c r="O46">
        <v>24.86</v>
      </c>
      <c r="P46">
        <v>8.86</v>
      </c>
      <c r="Q46">
        <v>24.82</v>
      </c>
      <c r="R46">
        <v>32.270000000000003</v>
      </c>
      <c r="S46">
        <v>4.83</v>
      </c>
      <c r="T46">
        <v>2077</v>
      </c>
      <c r="U46">
        <v>1904</v>
      </c>
      <c r="V46">
        <v>1129</v>
      </c>
      <c r="W46">
        <v>1246</v>
      </c>
      <c r="X46">
        <v>6793</v>
      </c>
      <c r="Y46">
        <v>753</v>
      </c>
      <c r="Z46">
        <v>5538</v>
      </c>
      <c r="AA46">
        <v>2376</v>
      </c>
      <c r="AB46">
        <v>13.02</v>
      </c>
      <c r="AC46">
        <v>15460</v>
      </c>
      <c r="AD46">
        <v>0.65</v>
      </c>
      <c r="AE46" s="1">
        <v>0.41709388629581401</v>
      </c>
      <c r="AF46" s="15">
        <v>2.4996064220470199E-4</v>
      </c>
      <c r="AG46">
        <v>5.1993083442450502E-2</v>
      </c>
      <c r="AH46">
        <v>32.268631441987701</v>
      </c>
      <c r="AI46">
        <v>1.67</v>
      </c>
      <c r="AJ46">
        <v>25.38</v>
      </c>
    </row>
    <row r="47" spans="1:36" x14ac:dyDescent="0.25">
      <c r="A47">
        <v>8560</v>
      </c>
      <c r="B47">
        <v>2419</v>
      </c>
      <c r="C47">
        <v>1905</v>
      </c>
      <c r="D47">
        <v>6</v>
      </c>
      <c r="E47">
        <v>73</v>
      </c>
      <c r="F47">
        <v>11915</v>
      </c>
      <c r="G47">
        <v>9.17</v>
      </c>
      <c r="H47">
        <v>10.74</v>
      </c>
      <c r="I47">
        <v>5.92</v>
      </c>
      <c r="J47">
        <v>0.01</v>
      </c>
      <c r="K47">
        <v>0.15</v>
      </c>
      <c r="L47">
        <v>24.68</v>
      </c>
      <c r="M47">
        <v>7.52</v>
      </c>
      <c r="N47">
        <v>18.940000000000001</v>
      </c>
      <c r="O47">
        <v>17.18</v>
      </c>
      <c r="P47">
        <v>4.95</v>
      </c>
      <c r="Q47">
        <v>24.83</v>
      </c>
      <c r="R47">
        <v>32.909999999999997</v>
      </c>
      <c r="S47">
        <v>21.64</v>
      </c>
      <c r="T47">
        <v>2079</v>
      </c>
      <c r="U47">
        <v>1904</v>
      </c>
      <c r="V47">
        <v>1151</v>
      </c>
      <c r="W47">
        <v>968</v>
      </c>
      <c r="X47">
        <v>7984</v>
      </c>
      <c r="Y47">
        <v>840</v>
      </c>
      <c r="Z47">
        <v>5323</v>
      </c>
      <c r="AA47">
        <v>1985</v>
      </c>
      <c r="AB47">
        <v>15.156000000000001</v>
      </c>
      <c r="AC47">
        <v>16132</v>
      </c>
      <c r="AD47">
        <v>0.44</v>
      </c>
      <c r="AE47" s="1">
        <v>0.48703037722855602</v>
      </c>
      <c r="AF47">
        <v>1.4241133553231901E-2</v>
      </c>
      <c r="AG47">
        <v>0.167545201309062</v>
      </c>
      <c r="AH47">
        <v>32.907497760260597</v>
      </c>
      <c r="AI47">
        <v>7.52</v>
      </c>
      <c r="AJ47">
        <v>18.940000000000001</v>
      </c>
    </row>
    <row r="48" spans="1:36" x14ac:dyDescent="0.25">
      <c r="A48">
        <v>5689</v>
      </c>
      <c r="B48">
        <v>1069</v>
      </c>
      <c r="C48">
        <v>2224</v>
      </c>
      <c r="D48">
        <v>5</v>
      </c>
      <c r="E48">
        <v>272</v>
      </c>
      <c r="F48">
        <v>12213</v>
      </c>
      <c r="G48">
        <v>6.09</v>
      </c>
      <c r="H48">
        <v>4.74</v>
      </c>
      <c r="I48">
        <v>6.91</v>
      </c>
      <c r="J48">
        <v>0.01</v>
      </c>
      <c r="K48">
        <v>0.56000000000000005</v>
      </c>
      <c r="L48">
        <v>25.3</v>
      </c>
      <c r="M48">
        <v>3.32</v>
      </c>
      <c r="N48">
        <v>22.11</v>
      </c>
      <c r="O48">
        <v>24.46</v>
      </c>
      <c r="P48">
        <v>2.17</v>
      </c>
      <c r="Q48">
        <v>24.83</v>
      </c>
      <c r="R48">
        <v>33.729999999999997</v>
      </c>
      <c r="S48">
        <v>10.11</v>
      </c>
      <c r="T48">
        <v>2078</v>
      </c>
      <c r="U48">
        <v>1904</v>
      </c>
      <c r="V48">
        <v>1180</v>
      </c>
      <c r="W48">
        <v>1579</v>
      </c>
      <c r="X48">
        <v>7632</v>
      </c>
      <c r="Y48">
        <v>639</v>
      </c>
      <c r="Z48">
        <v>5427</v>
      </c>
      <c r="AA48">
        <v>1159</v>
      </c>
      <c r="AB48">
        <v>16.274000000000001</v>
      </c>
      <c r="AC48">
        <v>14857</v>
      </c>
      <c r="AD48">
        <v>0.52</v>
      </c>
      <c r="AE48" s="1">
        <v>0.454510674114316</v>
      </c>
      <c r="AF48">
        <v>1.17582064403837E-2</v>
      </c>
      <c r="AG48">
        <v>0.62706510024260298</v>
      </c>
      <c r="AH48">
        <v>33.728401326465701</v>
      </c>
      <c r="AI48">
        <v>3.32</v>
      </c>
      <c r="AJ48">
        <v>22.11</v>
      </c>
    </row>
    <row r="49" spans="1:36" x14ac:dyDescent="0.25">
      <c r="A49">
        <v>13330</v>
      </c>
      <c r="B49">
        <v>2261</v>
      </c>
      <c r="C49">
        <v>1917</v>
      </c>
      <c r="D49">
        <v>22</v>
      </c>
      <c r="E49">
        <v>356</v>
      </c>
      <c r="F49">
        <v>11795</v>
      </c>
      <c r="G49">
        <v>14.28</v>
      </c>
      <c r="H49">
        <v>10.039999999999999</v>
      </c>
      <c r="I49">
        <v>5.96</v>
      </c>
      <c r="J49">
        <v>0.04</v>
      </c>
      <c r="K49">
        <v>0.74</v>
      </c>
      <c r="L49">
        <v>24.43</v>
      </c>
      <c r="M49">
        <v>7.03</v>
      </c>
      <c r="N49">
        <v>19.059999999999999</v>
      </c>
      <c r="O49">
        <v>16.72</v>
      </c>
      <c r="P49">
        <v>8.86</v>
      </c>
      <c r="Q49">
        <v>24.88</v>
      </c>
      <c r="R49">
        <v>32.57</v>
      </c>
      <c r="S49">
        <v>20.89</v>
      </c>
      <c r="T49">
        <v>2085</v>
      </c>
      <c r="U49">
        <v>1904</v>
      </c>
      <c r="V49">
        <v>1140</v>
      </c>
      <c r="W49">
        <v>727</v>
      </c>
      <c r="X49">
        <v>7673</v>
      </c>
      <c r="Y49">
        <v>920</v>
      </c>
      <c r="Z49">
        <v>5327</v>
      </c>
      <c r="AA49">
        <v>2642</v>
      </c>
      <c r="AB49">
        <v>13.505000000000001</v>
      </c>
      <c r="AC49">
        <v>16562</v>
      </c>
      <c r="AD49">
        <v>0.51</v>
      </c>
      <c r="AE49" s="1">
        <v>0.47815441120208102</v>
      </c>
      <c r="AF49">
        <v>5.5901736866372502E-2</v>
      </c>
      <c r="AG49">
        <v>0.81930128464156504</v>
      </c>
      <c r="AH49">
        <v>32.573689660891098</v>
      </c>
      <c r="AI49">
        <v>7.03</v>
      </c>
      <c r="AJ49">
        <v>19.059999999999999</v>
      </c>
    </row>
    <row r="50" spans="1:36" x14ac:dyDescent="0.25">
      <c r="A50">
        <v>8804</v>
      </c>
      <c r="B50">
        <v>3852</v>
      </c>
      <c r="C50">
        <v>1407</v>
      </c>
      <c r="D50">
        <v>21</v>
      </c>
      <c r="E50">
        <v>235</v>
      </c>
      <c r="F50">
        <v>11980</v>
      </c>
      <c r="G50">
        <v>9.43</v>
      </c>
      <c r="H50">
        <v>17.100000000000001</v>
      </c>
      <c r="I50">
        <v>4.37</v>
      </c>
      <c r="J50">
        <v>0.04</v>
      </c>
      <c r="K50">
        <v>0.49</v>
      </c>
      <c r="L50">
        <v>24.81</v>
      </c>
      <c r="M50">
        <v>11.97</v>
      </c>
      <c r="N50">
        <v>13.99</v>
      </c>
      <c r="O50">
        <v>11.32</v>
      </c>
      <c r="P50">
        <v>7.26</v>
      </c>
      <c r="Q50">
        <v>24.87</v>
      </c>
      <c r="R50">
        <v>33.090000000000003</v>
      </c>
      <c r="S50">
        <v>34.74</v>
      </c>
      <c r="T50">
        <v>2084</v>
      </c>
      <c r="U50">
        <v>1904</v>
      </c>
      <c r="V50">
        <v>1158</v>
      </c>
      <c r="W50">
        <v>458</v>
      </c>
      <c r="X50">
        <v>8612</v>
      </c>
      <c r="Y50">
        <v>1004</v>
      </c>
      <c r="Z50">
        <v>5158</v>
      </c>
      <c r="AA50">
        <v>2422</v>
      </c>
      <c r="AB50">
        <v>15.02</v>
      </c>
      <c r="AC50">
        <v>17196</v>
      </c>
      <c r="AD50">
        <v>0.38</v>
      </c>
      <c r="AE50" s="1">
        <v>0.54273471573953602</v>
      </c>
      <c r="AF50">
        <v>5.3166552904036199E-2</v>
      </c>
      <c r="AG50">
        <v>0.54006825941541003</v>
      </c>
      <c r="AH50">
        <v>33.085931997024801</v>
      </c>
      <c r="AI50">
        <v>11.97</v>
      </c>
      <c r="AJ50">
        <v>13.99</v>
      </c>
    </row>
    <row r="51" spans="1:36" x14ac:dyDescent="0.25">
      <c r="A51">
        <v>10303</v>
      </c>
      <c r="B51">
        <v>4074</v>
      </c>
      <c r="C51">
        <v>1489</v>
      </c>
      <c r="D51">
        <v>8</v>
      </c>
      <c r="E51">
        <v>2</v>
      </c>
      <c r="F51">
        <v>11501</v>
      </c>
      <c r="G51">
        <v>11.04</v>
      </c>
      <c r="H51">
        <v>18.079999999999998</v>
      </c>
      <c r="I51">
        <v>4.62</v>
      </c>
      <c r="J51">
        <v>0.02</v>
      </c>
      <c r="K51">
        <v>0</v>
      </c>
      <c r="L51">
        <v>23.82</v>
      </c>
      <c r="M51">
        <v>12.66</v>
      </c>
      <c r="N51">
        <v>14.8</v>
      </c>
      <c r="O51">
        <v>10.62</v>
      </c>
      <c r="P51">
        <v>8.89</v>
      </c>
      <c r="Q51">
        <v>24.84</v>
      </c>
      <c r="R51">
        <v>31.76</v>
      </c>
      <c r="S51">
        <v>36.17</v>
      </c>
      <c r="T51">
        <v>2080</v>
      </c>
      <c r="U51">
        <v>1904</v>
      </c>
      <c r="V51">
        <v>1111</v>
      </c>
      <c r="W51">
        <v>321</v>
      </c>
      <c r="X51">
        <v>8548</v>
      </c>
      <c r="Y51">
        <v>1051</v>
      </c>
      <c r="Z51">
        <v>5186</v>
      </c>
      <c r="AA51">
        <v>2722</v>
      </c>
      <c r="AB51">
        <v>14.497</v>
      </c>
      <c r="AC51">
        <v>17507</v>
      </c>
      <c r="AD51">
        <v>0.4</v>
      </c>
      <c r="AE51" s="1">
        <v>0.54809090213482203</v>
      </c>
      <c r="AF51">
        <v>2.0590199399868399E-2</v>
      </c>
      <c r="AG51">
        <v>4.1200973491895701E-3</v>
      </c>
      <c r="AH51">
        <v>31.762733542382499</v>
      </c>
      <c r="AI51">
        <v>12.66</v>
      </c>
      <c r="AJ51">
        <v>14.8</v>
      </c>
    </row>
    <row r="52" spans="1:36" x14ac:dyDescent="0.25">
      <c r="A52">
        <v>5636</v>
      </c>
      <c r="B52">
        <v>1811</v>
      </c>
      <c r="C52">
        <v>2230</v>
      </c>
      <c r="D52">
        <v>21</v>
      </c>
      <c r="E52">
        <v>187</v>
      </c>
      <c r="F52">
        <v>11138</v>
      </c>
      <c r="G52">
        <v>6.04</v>
      </c>
      <c r="H52">
        <v>8.0399999999999991</v>
      </c>
      <c r="I52">
        <v>6.93</v>
      </c>
      <c r="J52">
        <v>0.04</v>
      </c>
      <c r="K52">
        <v>0.39</v>
      </c>
      <c r="L52">
        <v>23.07</v>
      </c>
      <c r="M52">
        <v>5.63</v>
      </c>
      <c r="N52">
        <v>22.17</v>
      </c>
      <c r="O52">
        <v>21.46</v>
      </c>
      <c r="P52">
        <v>2.39</v>
      </c>
      <c r="Q52">
        <v>24.87</v>
      </c>
      <c r="R52">
        <v>30.76</v>
      </c>
      <c r="S52">
        <v>16.510000000000002</v>
      </c>
      <c r="T52">
        <v>2084</v>
      </c>
      <c r="U52">
        <v>1904</v>
      </c>
      <c r="V52">
        <v>1076</v>
      </c>
      <c r="W52">
        <v>1376</v>
      </c>
      <c r="X52">
        <v>7882</v>
      </c>
      <c r="Y52">
        <v>707</v>
      </c>
      <c r="Z52">
        <v>5430</v>
      </c>
      <c r="AA52">
        <v>1363</v>
      </c>
      <c r="AB52">
        <v>16.478999999999999</v>
      </c>
      <c r="AC52">
        <v>15382</v>
      </c>
      <c r="AD52">
        <v>0.47</v>
      </c>
      <c r="AE52" s="1">
        <v>0.48083250439972403</v>
      </c>
      <c r="AF52">
        <v>5.3440132818493802E-2</v>
      </c>
      <c r="AG52">
        <v>0.429283702487608</v>
      </c>
      <c r="AH52">
        <v>30.7589990713882</v>
      </c>
      <c r="AI52">
        <v>5.63</v>
      </c>
      <c r="AJ52">
        <v>22.17</v>
      </c>
    </row>
    <row r="53" spans="1:36" x14ac:dyDescent="0.25">
      <c r="A53">
        <v>14983</v>
      </c>
      <c r="B53">
        <v>1939</v>
      </c>
      <c r="C53">
        <v>1991</v>
      </c>
      <c r="D53">
        <v>3</v>
      </c>
      <c r="E53">
        <v>50</v>
      </c>
      <c r="F53">
        <v>12247</v>
      </c>
      <c r="G53">
        <v>16.05</v>
      </c>
      <c r="H53">
        <v>8.61</v>
      </c>
      <c r="I53">
        <v>6.19</v>
      </c>
      <c r="J53">
        <v>0.01</v>
      </c>
      <c r="K53">
        <v>0.1</v>
      </c>
      <c r="L53">
        <v>25.37</v>
      </c>
      <c r="M53">
        <v>6.02</v>
      </c>
      <c r="N53">
        <v>19.8</v>
      </c>
      <c r="O53">
        <v>17.809999999999999</v>
      </c>
      <c r="P53">
        <v>10.06</v>
      </c>
      <c r="Q53">
        <v>24.83</v>
      </c>
      <c r="R53">
        <v>33.82</v>
      </c>
      <c r="S53">
        <v>17.32</v>
      </c>
      <c r="T53">
        <v>2078</v>
      </c>
      <c r="U53">
        <v>1904</v>
      </c>
      <c r="V53">
        <v>1184</v>
      </c>
      <c r="W53">
        <v>731</v>
      </c>
      <c r="X53">
        <v>7408</v>
      </c>
      <c r="Y53">
        <v>919</v>
      </c>
      <c r="Z53">
        <v>5352</v>
      </c>
      <c r="AA53">
        <v>2816</v>
      </c>
      <c r="AB53">
        <v>12.727</v>
      </c>
      <c r="AC53">
        <v>16495</v>
      </c>
      <c r="AD53">
        <v>0.55000000000000004</v>
      </c>
      <c r="AE53" s="1">
        <v>0.45879562323054501</v>
      </c>
      <c r="AF53">
        <v>8.8954946785568395E-3</v>
      </c>
      <c r="AG53">
        <v>0.11417559711514701</v>
      </c>
      <c r="AH53">
        <v>33.824138907218099</v>
      </c>
      <c r="AI53">
        <v>6.02</v>
      </c>
      <c r="AJ53">
        <v>19.8</v>
      </c>
    </row>
    <row r="54" spans="1:36" x14ac:dyDescent="0.25">
      <c r="A54">
        <v>6019</v>
      </c>
      <c r="B54">
        <v>128</v>
      </c>
      <c r="C54">
        <v>2585</v>
      </c>
      <c r="D54">
        <v>2</v>
      </c>
      <c r="E54">
        <v>56</v>
      </c>
      <c r="F54">
        <v>12107</v>
      </c>
      <c r="G54">
        <v>6.45</v>
      </c>
      <c r="H54">
        <v>0.56999999999999995</v>
      </c>
      <c r="I54">
        <v>8.0299999999999994</v>
      </c>
      <c r="J54">
        <v>0</v>
      </c>
      <c r="K54">
        <v>0.12</v>
      </c>
      <c r="L54">
        <v>25.08</v>
      </c>
      <c r="M54">
        <v>0.4</v>
      </c>
      <c r="N54">
        <v>25.7</v>
      </c>
      <c r="O54">
        <v>29.36</v>
      </c>
      <c r="P54">
        <v>2.12</v>
      </c>
      <c r="Q54">
        <v>24.82</v>
      </c>
      <c r="R54">
        <v>33.44</v>
      </c>
      <c r="S54">
        <v>1.27</v>
      </c>
      <c r="T54">
        <v>2077</v>
      </c>
      <c r="U54">
        <v>1904</v>
      </c>
      <c r="V54">
        <v>1170</v>
      </c>
      <c r="W54">
        <v>1891</v>
      </c>
      <c r="X54">
        <v>7172</v>
      </c>
      <c r="Y54">
        <v>539</v>
      </c>
      <c r="Z54">
        <v>5548</v>
      </c>
      <c r="AA54">
        <v>951</v>
      </c>
      <c r="AB54">
        <v>16.172000000000001</v>
      </c>
      <c r="AC54">
        <v>14210</v>
      </c>
      <c r="AD54">
        <v>0.6</v>
      </c>
      <c r="AE54" s="1">
        <v>0.42428647945519898</v>
      </c>
      <c r="AF54">
        <v>4.5307608433424497E-3</v>
      </c>
      <c r="AG54">
        <v>0.129994244026398</v>
      </c>
      <c r="AH54">
        <v>33.435074128714703</v>
      </c>
      <c r="AI54">
        <v>0.4</v>
      </c>
      <c r="AJ54">
        <v>25.7</v>
      </c>
    </row>
    <row r="55" spans="1:36" x14ac:dyDescent="0.25">
      <c r="A55">
        <v>11076</v>
      </c>
      <c r="B55">
        <v>1440</v>
      </c>
      <c r="C55">
        <v>2381</v>
      </c>
      <c r="D55">
        <v>9</v>
      </c>
      <c r="E55">
        <v>267</v>
      </c>
      <c r="F55">
        <v>10900</v>
      </c>
      <c r="G55">
        <v>11.87</v>
      </c>
      <c r="H55">
        <v>6.39</v>
      </c>
      <c r="I55">
        <v>7.4</v>
      </c>
      <c r="J55">
        <v>0.02</v>
      </c>
      <c r="K55">
        <v>0.55000000000000004</v>
      </c>
      <c r="L55">
        <v>22.58</v>
      </c>
      <c r="M55">
        <v>4.47</v>
      </c>
      <c r="N55">
        <v>23.68</v>
      </c>
      <c r="O55">
        <v>21.56</v>
      </c>
      <c r="P55">
        <v>6.2</v>
      </c>
      <c r="Q55">
        <v>24.84</v>
      </c>
      <c r="R55">
        <v>30.1</v>
      </c>
      <c r="S55">
        <v>13.4</v>
      </c>
      <c r="T55">
        <v>2080</v>
      </c>
      <c r="U55">
        <v>1904</v>
      </c>
      <c r="V55">
        <v>1053</v>
      </c>
      <c r="W55">
        <v>1182</v>
      </c>
      <c r="X55">
        <v>7392</v>
      </c>
      <c r="Y55">
        <v>774</v>
      </c>
      <c r="Z55">
        <v>5480</v>
      </c>
      <c r="AA55">
        <v>2070</v>
      </c>
      <c r="AB55">
        <v>14.555999999999999</v>
      </c>
      <c r="AC55">
        <v>15716</v>
      </c>
      <c r="AD55">
        <v>0.54</v>
      </c>
      <c r="AE55" s="1">
        <v>0.45757135205448002</v>
      </c>
      <c r="AF55">
        <v>2.44247405384629E-2</v>
      </c>
      <c r="AG55">
        <v>0.61402127420632302</v>
      </c>
      <c r="AH55">
        <v>30.102600817699699</v>
      </c>
      <c r="AI55">
        <v>4.47</v>
      </c>
      <c r="AJ55">
        <v>23.68</v>
      </c>
    </row>
    <row r="56" spans="1:36" x14ac:dyDescent="0.25">
      <c r="A56">
        <v>10110</v>
      </c>
      <c r="B56">
        <v>4161</v>
      </c>
      <c r="C56">
        <v>1390</v>
      </c>
      <c r="D56">
        <v>9</v>
      </c>
      <c r="E56">
        <v>15</v>
      </c>
      <c r="F56">
        <v>11830</v>
      </c>
      <c r="G56">
        <v>10.83</v>
      </c>
      <c r="H56">
        <v>18.47</v>
      </c>
      <c r="I56">
        <v>4.32</v>
      </c>
      <c r="J56">
        <v>0.02</v>
      </c>
      <c r="K56">
        <v>0.03</v>
      </c>
      <c r="L56">
        <v>24.5</v>
      </c>
      <c r="M56">
        <v>12.93</v>
      </c>
      <c r="N56">
        <v>13.82</v>
      </c>
      <c r="O56">
        <v>10.3</v>
      </c>
      <c r="P56">
        <v>9.0500000000000007</v>
      </c>
      <c r="Q56">
        <v>24.84</v>
      </c>
      <c r="R56">
        <v>32.67</v>
      </c>
      <c r="S56">
        <v>36.97</v>
      </c>
      <c r="T56">
        <v>2080</v>
      </c>
      <c r="U56">
        <v>1904</v>
      </c>
      <c r="V56">
        <v>1143</v>
      </c>
      <c r="W56">
        <v>290</v>
      </c>
      <c r="X56">
        <v>8617</v>
      </c>
      <c r="Y56">
        <v>1060</v>
      </c>
      <c r="Z56">
        <v>5154</v>
      </c>
      <c r="AA56">
        <v>2718</v>
      </c>
      <c r="AB56">
        <v>14.494</v>
      </c>
      <c r="AC56">
        <v>17549</v>
      </c>
      <c r="AD56">
        <v>0.4</v>
      </c>
      <c r="AE56" s="1">
        <v>0.55176371566301896</v>
      </c>
      <c r="AF56">
        <v>2.37899133585379E-2</v>
      </c>
      <c r="AG56">
        <v>3.4347481546789897E-2</v>
      </c>
      <c r="AH56">
        <v>32.671721562405899</v>
      </c>
      <c r="AI56">
        <v>12.93</v>
      </c>
      <c r="AJ56">
        <v>13.82</v>
      </c>
    </row>
    <row r="57" spans="1:36" x14ac:dyDescent="0.25">
      <c r="A57">
        <v>7150</v>
      </c>
      <c r="B57">
        <v>809</v>
      </c>
      <c r="C57">
        <v>2351</v>
      </c>
      <c r="D57">
        <v>13</v>
      </c>
      <c r="E57">
        <v>194</v>
      </c>
      <c r="F57">
        <v>12064</v>
      </c>
      <c r="G57">
        <v>7.66</v>
      </c>
      <c r="H57">
        <v>3.59</v>
      </c>
      <c r="I57">
        <v>7.3</v>
      </c>
      <c r="J57">
        <v>0.03</v>
      </c>
      <c r="K57">
        <v>0.4</v>
      </c>
      <c r="L57">
        <v>24.99</v>
      </c>
      <c r="M57">
        <v>2.5099999999999998</v>
      </c>
      <c r="N57">
        <v>23.37</v>
      </c>
      <c r="O57">
        <v>25.27</v>
      </c>
      <c r="P57">
        <v>3</v>
      </c>
      <c r="Q57">
        <v>24.85</v>
      </c>
      <c r="R57">
        <v>33.32</v>
      </c>
      <c r="S57">
        <v>7.63</v>
      </c>
      <c r="T57">
        <v>2081</v>
      </c>
      <c r="U57">
        <v>1904</v>
      </c>
      <c r="V57">
        <v>1166</v>
      </c>
      <c r="W57">
        <v>1588</v>
      </c>
      <c r="X57">
        <v>7416</v>
      </c>
      <c r="Y57">
        <v>638</v>
      </c>
      <c r="Z57">
        <v>5470</v>
      </c>
      <c r="AA57">
        <v>1307</v>
      </c>
      <c r="AB57">
        <v>15.765000000000001</v>
      </c>
      <c r="AC57">
        <v>14831</v>
      </c>
      <c r="AD57">
        <v>0.55000000000000004</v>
      </c>
      <c r="AE57" s="1">
        <v>0.44188537761114</v>
      </c>
      <c r="AF57">
        <v>3.2387329897000702E-2</v>
      </c>
      <c r="AG57">
        <v>0.44534109475142403</v>
      </c>
      <c r="AH57">
        <v>33.3189761820068</v>
      </c>
      <c r="AI57">
        <v>2.5099999999999998</v>
      </c>
      <c r="AJ57">
        <v>23.37</v>
      </c>
    </row>
    <row r="58" spans="1:36" x14ac:dyDescent="0.25">
      <c r="A58">
        <v>5978</v>
      </c>
      <c r="B58">
        <v>538</v>
      </c>
      <c r="C58">
        <v>2553</v>
      </c>
      <c r="D58">
        <v>2</v>
      </c>
      <c r="E58">
        <v>14</v>
      </c>
      <c r="F58">
        <v>11691</v>
      </c>
      <c r="G58">
        <v>6.4</v>
      </c>
      <c r="H58">
        <v>2.39</v>
      </c>
      <c r="I58">
        <v>7.93</v>
      </c>
      <c r="J58">
        <v>0</v>
      </c>
      <c r="K58">
        <v>0.03</v>
      </c>
      <c r="L58">
        <v>24.22</v>
      </c>
      <c r="M58">
        <v>1.67</v>
      </c>
      <c r="N58">
        <v>25.38</v>
      </c>
      <c r="O58">
        <v>27.53</v>
      </c>
      <c r="P58">
        <v>2.17</v>
      </c>
      <c r="Q58">
        <v>24.82</v>
      </c>
      <c r="R58">
        <v>32.29</v>
      </c>
      <c r="S58">
        <v>4.8099999999999996</v>
      </c>
      <c r="T58">
        <v>2077</v>
      </c>
      <c r="U58">
        <v>1904</v>
      </c>
      <c r="V58">
        <v>1130</v>
      </c>
      <c r="W58">
        <v>1773</v>
      </c>
      <c r="X58">
        <v>7319</v>
      </c>
      <c r="Y58">
        <v>578</v>
      </c>
      <c r="Z58">
        <v>5537</v>
      </c>
      <c r="AA58">
        <v>1063</v>
      </c>
      <c r="AB58">
        <v>16.247</v>
      </c>
      <c r="AC58">
        <v>14497</v>
      </c>
      <c r="AD58">
        <v>0.56999999999999995</v>
      </c>
      <c r="AE58" s="1">
        <v>0.43737087764939903</v>
      </c>
      <c r="AF58">
        <v>4.6366581778811604E-3</v>
      </c>
      <c r="AG58">
        <v>3.1542217537437502E-2</v>
      </c>
      <c r="AH58">
        <v>32.288493337035703</v>
      </c>
      <c r="AI58">
        <v>1.67</v>
      </c>
      <c r="AJ58">
        <v>25.38</v>
      </c>
    </row>
    <row r="59" spans="1:36" x14ac:dyDescent="0.25">
      <c r="A59">
        <v>7163</v>
      </c>
      <c r="B59">
        <v>1263</v>
      </c>
      <c r="C59">
        <v>2354</v>
      </c>
      <c r="D59">
        <v>9</v>
      </c>
      <c r="E59">
        <v>0</v>
      </c>
      <c r="F59">
        <v>11562</v>
      </c>
      <c r="G59">
        <v>7.67</v>
      </c>
      <c r="H59">
        <v>5.61</v>
      </c>
      <c r="I59">
        <v>7.31</v>
      </c>
      <c r="J59">
        <v>0.02</v>
      </c>
      <c r="K59">
        <v>0</v>
      </c>
      <c r="L59">
        <v>23.95</v>
      </c>
      <c r="M59">
        <v>3.92</v>
      </c>
      <c r="N59">
        <v>23.41</v>
      </c>
      <c r="O59">
        <v>23.39</v>
      </c>
      <c r="P59">
        <v>3.14</v>
      </c>
      <c r="Q59">
        <v>24.84</v>
      </c>
      <c r="R59">
        <v>31.93</v>
      </c>
      <c r="S59">
        <v>11.21</v>
      </c>
      <c r="T59">
        <v>2080</v>
      </c>
      <c r="U59">
        <v>1904</v>
      </c>
      <c r="V59">
        <v>1117</v>
      </c>
      <c r="W59">
        <v>1461</v>
      </c>
      <c r="X59">
        <v>7548</v>
      </c>
      <c r="Y59">
        <v>680</v>
      </c>
      <c r="Z59">
        <v>5471</v>
      </c>
      <c r="AA59">
        <v>1447</v>
      </c>
      <c r="AB59">
        <v>15.798</v>
      </c>
      <c r="AC59">
        <v>15146</v>
      </c>
      <c r="AD59">
        <v>0.52</v>
      </c>
      <c r="AE59" s="1">
        <v>0.45481674190833199</v>
      </c>
      <c r="AF59">
        <v>2.42304064058756E-2</v>
      </c>
      <c r="AG59" s="15">
        <v>2.3818661625921801E-4</v>
      </c>
      <c r="AH59">
        <v>31.932293965167901</v>
      </c>
      <c r="AI59">
        <v>3.92</v>
      </c>
      <c r="AJ59">
        <v>23.41</v>
      </c>
    </row>
    <row r="60" spans="1:36" x14ac:dyDescent="0.25">
      <c r="A60">
        <v>6266</v>
      </c>
      <c r="B60">
        <v>5103</v>
      </c>
      <c r="C60">
        <v>2767</v>
      </c>
      <c r="D60">
        <v>5</v>
      </c>
      <c r="E60">
        <v>208</v>
      </c>
      <c r="F60">
        <v>3618</v>
      </c>
      <c r="G60">
        <v>6.71</v>
      </c>
      <c r="H60">
        <v>22.65</v>
      </c>
      <c r="I60">
        <v>8.6</v>
      </c>
      <c r="J60">
        <v>0.01</v>
      </c>
      <c r="K60">
        <v>0.43</v>
      </c>
      <c r="L60">
        <v>7.49</v>
      </c>
      <c r="M60">
        <v>15.86</v>
      </c>
      <c r="N60">
        <v>27.51</v>
      </c>
      <c r="O60">
        <v>11.26</v>
      </c>
      <c r="P60">
        <v>5.81</v>
      </c>
      <c r="Q60">
        <v>24.83</v>
      </c>
      <c r="R60">
        <v>9.99</v>
      </c>
      <c r="S60">
        <v>45.78</v>
      </c>
      <c r="T60">
        <v>2078</v>
      </c>
      <c r="U60">
        <v>1904</v>
      </c>
      <c r="V60">
        <v>350</v>
      </c>
      <c r="W60">
        <v>527</v>
      </c>
      <c r="X60">
        <v>8818</v>
      </c>
      <c r="Y60">
        <v>1000</v>
      </c>
      <c r="Z60">
        <v>5607</v>
      </c>
      <c r="AA60">
        <v>2599</v>
      </c>
      <c r="AB60">
        <v>17.744</v>
      </c>
      <c r="AC60">
        <v>18024</v>
      </c>
      <c r="AD60">
        <v>0.32</v>
      </c>
      <c r="AE60" s="1">
        <v>0.62644425740301402</v>
      </c>
      <c r="AF60">
        <v>1.3279395893256401E-2</v>
      </c>
      <c r="AG60">
        <v>0.47864456185896398</v>
      </c>
      <c r="AH60">
        <v>9.9931230629861592</v>
      </c>
      <c r="AI60">
        <v>15.86</v>
      </c>
      <c r="AJ60">
        <v>27.51</v>
      </c>
    </row>
    <row r="61" spans="1:36" x14ac:dyDescent="0.25">
      <c r="A61">
        <v>6144</v>
      </c>
      <c r="B61">
        <v>3000</v>
      </c>
      <c r="C61">
        <v>1664</v>
      </c>
      <c r="D61">
        <v>0</v>
      </c>
      <c r="E61">
        <v>357</v>
      </c>
      <c r="F61">
        <v>11921</v>
      </c>
      <c r="G61">
        <v>6.58</v>
      </c>
      <c r="H61">
        <v>13.31</v>
      </c>
      <c r="I61">
        <v>5.17</v>
      </c>
      <c r="J61">
        <v>0</v>
      </c>
      <c r="K61">
        <v>0.74</v>
      </c>
      <c r="L61">
        <v>24.69</v>
      </c>
      <c r="M61">
        <v>9.32</v>
      </c>
      <c r="N61">
        <v>16.55</v>
      </c>
      <c r="O61">
        <v>15.22</v>
      </c>
      <c r="P61">
        <v>3.73</v>
      </c>
      <c r="Q61">
        <v>24.82</v>
      </c>
      <c r="R61">
        <v>32.92</v>
      </c>
      <c r="S61">
        <v>27.45</v>
      </c>
      <c r="T61">
        <v>2077</v>
      </c>
      <c r="U61">
        <v>1904</v>
      </c>
      <c r="V61">
        <v>1152</v>
      </c>
      <c r="W61">
        <v>905</v>
      </c>
      <c r="X61">
        <v>8420</v>
      </c>
      <c r="Y61">
        <v>858</v>
      </c>
      <c r="Z61">
        <v>5242</v>
      </c>
      <c r="AA61">
        <v>1773</v>
      </c>
      <c r="AB61">
        <v>16.084</v>
      </c>
      <c r="AC61">
        <v>16293</v>
      </c>
      <c r="AD61">
        <v>0.38</v>
      </c>
      <c r="AE61" s="1">
        <v>0.516412885454128</v>
      </c>
      <c r="AF61" s="15">
        <v>8.9243215457118796E-4</v>
      </c>
      <c r="AG61">
        <v>0.82095135873968095</v>
      </c>
      <c r="AH61">
        <v>32.924094777528801</v>
      </c>
      <c r="AI61">
        <v>9.32</v>
      </c>
      <c r="AJ61">
        <v>16.55</v>
      </c>
    </row>
    <row r="62" spans="1:36" x14ac:dyDescent="0.25">
      <c r="A62">
        <v>12589</v>
      </c>
      <c r="B62">
        <v>2687</v>
      </c>
      <c r="C62">
        <v>1785</v>
      </c>
      <c r="D62">
        <v>3</v>
      </c>
      <c r="E62">
        <v>323</v>
      </c>
      <c r="F62">
        <v>11841</v>
      </c>
      <c r="G62">
        <v>13.49</v>
      </c>
      <c r="H62">
        <v>11.93</v>
      </c>
      <c r="I62">
        <v>5.55</v>
      </c>
      <c r="J62">
        <v>0.01</v>
      </c>
      <c r="K62">
        <v>0.67</v>
      </c>
      <c r="L62">
        <v>24.53</v>
      </c>
      <c r="M62">
        <v>8.35</v>
      </c>
      <c r="N62">
        <v>17.75</v>
      </c>
      <c r="O62">
        <v>15</v>
      </c>
      <c r="P62">
        <v>8.64</v>
      </c>
      <c r="Q62">
        <v>24.83</v>
      </c>
      <c r="R62">
        <v>32.700000000000003</v>
      </c>
      <c r="S62">
        <v>24.6</v>
      </c>
      <c r="T62">
        <v>2078</v>
      </c>
      <c r="U62">
        <v>1904</v>
      </c>
      <c r="V62">
        <v>1144</v>
      </c>
      <c r="W62">
        <v>627</v>
      </c>
      <c r="X62">
        <v>7890</v>
      </c>
      <c r="Y62">
        <v>952</v>
      </c>
      <c r="Z62">
        <v>5285</v>
      </c>
      <c r="AA62">
        <v>2655</v>
      </c>
      <c r="AB62">
        <v>13.728999999999999</v>
      </c>
      <c r="AC62">
        <v>16782</v>
      </c>
      <c r="AD62">
        <v>0.48</v>
      </c>
      <c r="AE62" s="1">
        <v>0.492998699211875</v>
      </c>
      <c r="AF62">
        <v>7.0477193591096596E-3</v>
      </c>
      <c r="AG62">
        <v>0.74348925431482704</v>
      </c>
      <c r="AH62">
        <v>32.701380698375999</v>
      </c>
      <c r="AI62">
        <v>8.35</v>
      </c>
      <c r="AJ62">
        <v>17.75</v>
      </c>
    </row>
    <row r="63" spans="1:36" x14ac:dyDescent="0.25">
      <c r="A63">
        <v>14949</v>
      </c>
      <c r="B63">
        <v>2700</v>
      </c>
      <c r="C63">
        <v>1773</v>
      </c>
      <c r="D63">
        <v>4</v>
      </c>
      <c r="E63">
        <v>30</v>
      </c>
      <c r="F63">
        <v>12173</v>
      </c>
      <c r="G63">
        <v>16.010000000000002</v>
      </c>
      <c r="H63">
        <v>11.99</v>
      </c>
      <c r="I63">
        <v>5.51</v>
      </c>
      <c r="J63">
        <v>0.01</v>
      </c>
      <c r="K63">
        <v>0.06</v>
      </c>
      <c r="L63">
        <v>25.21</v>
      </c>
      <c r="M63">
        <v>8.39</v>
      </c>
      <c r="N63">
        <v>17.63</v>
      </c>
      <c r="O63">
        <v>14.53</v>
      </c>
      <c r="P63">
        <v>10.8</v>
      </c>
      <c r="Q63">
        <v>24.83</v>
      </c>
      <c r="R63">
        <v>33.619999999999997</v>
      </c>
      <c r="S63">
        <v>24.04</v>
      </c>
      <c r="T63">
        <v>2078</v>
      </c>
      <c r="U63">
        <v>1904</v>
      </c>
      <c r="V63">
        <v>1176</v>
      </c>
      <c r="W63">
        <v>479</v>
      </c>
      <c r="X63">
        <v>7726</v>
      </c>
      <c r="Y63">
        <v>1001</v>
      </c>
      <c r="Z63">
        <v>5279</v>
      </c>
      <c r="AA63">
        <v>3029</v>
      </c>
      <c r="AB63">
        <v>12.71</v>
      </c>
      <c r="AC63">
        <v>17035</v>
      </c>
      <c r="AD63">
        <v>0.51</v>
      </c>
      <c r="AE63" s="1">
        <v>0.48511745351595298</v>
      </c>
      <c r="AF63">
        <v>9.84349444304293E-3</v>
      </c>
      <c r="AG63">
        <v>6.9919070920028803E-2</v>
      </c>
      <c r="AH63">
        <v>33.6176097907437</v>
      </c>
      <c r="AI63">
        <v>8.39</v>
      </c>
      <c r="AJ63">
        <v>17.63</v>
      </c>
    </row>
    <row r="64" spans="1:36" x14ac:dyDescent="0.25">
      <c r="A64">
        <v>12508</v>
      </c>
      <c r="B64">
        <v>3441</v>
      </c>
      <c r="C64">
        <v>1696</v>
      </c>
      <c r="D64">
        <v>3</v>
      </c>
      <c r="E64">
        <v>370</v>
      </c>
      <c r="F64">
        <v>11095</v>
      </c>
      <c r="G64">
        <v>13.4</v>
      </c>
      <c r="H64">
        <v>15.27</v>
      </c>
      <c r="I64">
        <v>5.27</v>
      </c>
      <c r="J64">
        <v>0.01</v>
      </c>
      <c r="K64">
        <v>0.77</v>
      </c>
      <c r="L64">
        <v>22.98</v>
      </c>
      <c r="M64">
        <v>10.69</v>
      </c>
      <c r="N64">
        <v>16.86</v>
      </c>
      <c r="O64">
        <v>12.29</v>
      </c>
      <c r="P64">
        <v>9.4700000000000006</v>
      </c>
      <c r="Q64">
        <v>24.83</v>
      </c>
      <c r="R64">
        <v>30.64</v>
      </c>
      <c r="S64">
        <v>31.39</v>
      </c>
      <c r="T64">
        <v>2077</v>
      </c>
      <c r="U64">
        <v>1904</v>
      </c>
      <c r="V64">
        <v>1072</v>
      </c>
      <c r="W64">
        <v>405</v>
      </c>
      <c r="X64">
        <v>8180</v>
      </c>
      <c r="Y64">
        <v>1025</v>
      </c>
      <c r="Z64">
        <v>5254</v>
      </c>
      <c r="AA64">
        <v>2853</v>
      </c>
      <c r="AB64">
        <v>13.895</v>
      </c>
      <c r="AC64">
        <v>17312</v>
      </c>
      <c r="AD64">
        <v>0.44</v>
      </c>
      <c r="AE64" s="1">
        <v>0.524217614201545</v>
      </c>
      <c r="AF64">
        <v>6.4836131444991896E-3</v>
      </c>
      <c r="AG64">
        <v>0.85039579841420798</v>
      </c>
      <c r="AH64">
        <v>30.642713991132101</v>
      </c>
      <c r="AI64">
        <v>10.69</v>
      </c>
      <c r="AJ64">
        <v>16.86</v>
      </c>
    </row>
    <row r="65" spans="1:36" x14ac:dyDescent="0.25">
      <c r="A65">
        <v>14998</v>
      </c>
      <c r="B65">
        <v>1517</v>
      </c>
      <c r="C65">
        <v>2117</v>
      </c>
      <c r="D65">
        <v>1</v>
      </c>
      <c r="E65">
        <v>118</v>
      </c>
      <c r="F65">
        <v>12212</v>
      </c>
      <c r="G65">
        <v>16.07</v>
      </c>
      <c r="H65">
        <v>6.73</v>
      </c>
      <c r="I65">
        <v>6.58</v>
      </c>
      <c r="J65">
        <v>0</v>
      </c>
      <c r="K65">
        <v>0.24</v>
      </c>
      <c r="L65">
        <v>25.29</v>
      </c>
      <c r="M65">
        <v>4.71</v>
      </c>
      <c r="N65">
        <v>21.05</v>
      </c>
      <c r="O65">
        <v>19.72</v>
      </c>
      <c r="P65">
        <v>9.73</v>
      </c>
      <c r="Q65">
        <v>24.82</v>
      </c>
      <c r="R65">
        <v>33.729999999999997</v>
      </c>
      <c r="S65">
        <v>13.74</v>
      </c>
      <c r="T65">
        <v>2077</v>
      </c>
      <c r="U65">
        <v>1904</v>
      </c>
      <c r="V65">
        <v>1180</v>
      </c>
      <c r="W65">
        <v>872</v>
      </c>
      <c r="X65">
        <v>7236</v>
      </c>
      <c r="Y65">
        <v>873</v>
      </c>
      <c r="Z65">
        <v>5392</v>
      </c>
      <c r="AA65">
        <v>2694</v>
      </c>
      <c r="AB65">
        <v>12.768000000000001</v>
      </c>
      <c r="AC65">
        <v>16195</v>
      </c>
      <c r="AD65">
        <v>0.57999999999999996</v>
      </c>
      <c r="AE65" s="1">
        <v>0.44594077588185699</v>
      </c>
      <c r="AF65">
        <v>2.50392979869281E-3</v>
      </c>
      <c r="AG65">
        <v>0.27089268890052598</v>
      </c>
      <c r="AH65">
        <v>33.726464815631601</v>
      </c>
      <c r="AI65">
        <v>4.71</v>
      </c>
      <c r="AJ65">
        <v>21.05</v>
      </c>
    </row>
    <row r="66" spans="1:36" x14ac:dyDescent="0.25">
      <c r="A66">
        <v>14979</v>
      </c>
      <c r="B66">
        <v>3785</v>
      </c>
      <c r="C66">
        <v>1440</v>
      </c>
      <c r="D66">
        <v>0</v>
      </c>
      <c r="E66">
        <v>7</v>
      </c>
      <c r="F66">
        <v>12169</v>
      </c>
      <c r="G66">
        <v>16.05</v>
      </c>
      <c r="H66">
        <v>16.8</v>
      </c>
      <c r="I66">
        <v>4.47</v>
      </c>
      <c r="J66">
        <v>0</v>
      </c>
      <c r="K66">
        <v>0.02</v>
      </c>
      <c r="L66">
        <v>25.21</v>
      </c>
      <c r="M66">
        <v>11.76</v>
      </c>
      <c r="N66">
        <v>14.32</v>
      </c>
      <c r="O66">
        <v>10.53</v>
      </c>
      <c r="P66">
        <v>12.68</v>
      </c>
      <c r="Q66">
        <v>24.82</v>
      </c>
      <c r="R66">
        <v>33.61</v>
      </c>
      <c r="S66">
        <v>33.619999999999997</v>
      </c>
      <c r="T66">
        <v>2077</v>
      </c>
      <c r="U66">
        <v>1904</v>
      </c>
      <c r="V66">
        <v>1176</v>
      </c>
      <c r="W66">
        <v>111</v>
      </c>
      <c r="X66">
        <v>8179</v>
      </c>
      <c r="Y66">
        <v>1120</v>
      </c>
      <c r="Z66">
        <v>5170</v>
      </c>
      <c r="AA66">
        <v>3345</v>
      </c>
      <c r="AB66">
        <v>12.632999999999999</v>
      </c>
      <c r="AC66">
        <v>17814</v>
      </c>
      <c r="AD66">
        <v>0.48</v>
      </c>
      <c r="AE66" s="1">
        <v>0.52773739383273399</v>
      </c>
      <c r="AF66" s="15">
        <v>7.7595984365967099E-4</v>
      </c>
      <c r="AG66">
        <v>1.6773274156457699E-2</v>
      </c>
      <c r="AH66">
        <v>33.607687286302799</v>
      </c>
      <c r="AI66">
        <v>11.76</v>
      </c>
      <c r="AJ66">
        <v>14.32</v>
      </c>
    </row>
    <row r="67" spans="1:36" x14ac:dyDescent="0.25">
      <c r="A67">
        <v>5649</v>
      </c>
      <c r="B67">
        <v>4967</v>
      </c>
      <c r="C67">
        <v>1555</v>
      </c>
      <c r="D67">
        <v>1</v>
      </c>
      <c r="E67">
        <v>330</v>
      </c>
      <c r="F67">
        <v>9521</v>
      </c>
      <c r="G67">
        <v>6.05</v>
      </c>
      <c r="H67">
        <v>22.05</v>
      </c>
      <c r="I67">
        <v>4.83</v>
      </c>
      <c r="J67">
        <v>0</v>
      </c>
      <c r="K67">
        <v>0.68</v>
      </c>
      <c r="L67">
        <v>19.72</v>
      </c>
      <c r="M67">
        <v>15.43</v>
      </c>
      <c r="N67">
        <v>15.46</v>
      </c>
      <c r="O67">
        <v>9.93</v>
      </c>
      <c r="P67">
        <v>6.98</v>
      </c>
      <c r="Q67">
        <v>24.82</v>
      </c>
      <c r="R67">
        <v>26.3</v>
      </c>
      <c r="S67">
        <v>44.86</v>
      </c>
      <c r="T67">
        <v>2077</v>
      </c>
      <c r="U67">
        <v>1904</v>
      </c>
      <c r="V67">
        <v>920</v>
      </c>
      <c r="W67">
        <v>366</v>
      </c>
      <c r="X67">
        <v>9146</v>
      </c>
      <c r="Y67">
        <v>1038</v>
      </c>
      <c r="Z67">
        <v>5207</v>
      </c>
      <c r="AA67">
        <v>2255</v>
      </c>
      <c r="AB67">
        <v>16.689</v>
      </c>
      <c r="AC67">
        <v>17646</v>
      </c>
      <c r="AD67">
        <v>0.35</v>
      </c>
      <c r="AE67" s="1">
        <v>0.60915142704108904</v>
      </c>
      <c r="AF67">
        <v>3.6221933270303599E-3</v>
      </c>
      <c r="AG67">
        <v>0.75977123690640003</v>
      </c>
      <c r="AH67">
        <v>26.295734176814499</v>
      </c>
      <c r="AI67">
        <v>15.43</v>
      </c>
      <c r="AJ67">
        <v>15.46</v>
      </c>
    </row>
    <row r="68" spans="1:36" x14ac:dyDescent="0.25">
      <c r="A68">
        <v>14140</v>
      </c>
      <c r="B68">
        <v>2417</v>
      </c>
      <c r="C68">
        <v>2025</v>
      </c>
      <c r="D68">
        <v>2</v>
      </c>
      <c r="E68">
        <v>41</v>
      </c>
      <c r="F68">
        <v>11381</v>
      </c>
      <c r="G68">
        <v>15.15</v>
      </c>
      <c r="H68">
        <v>10.73</v>
      </c>
      <c r="I68">
        <v>6.29</v>
      </c>
      <c r="J68">
        <v>0</v>
      </c>
      <c r="K68">
        <v>0.09</v>
      </c>
      <c r="L68">
        <v>23.57</v>
      </c>
      <c r="M68">
        <v>7.51</v>
      </c>
      <c r="N68">
        <v>20.13</v>
      </c>
      <c r="O68">
        <v>16.29</v>
      </c>
      <c r="P68">
        <v>9.65</v>
      </c>
      <c r="Q68">
        <v>24.82</v>
      </c>
      <c r="R68">
        <v>31.43</v>
      </c>
      <c r="S68">
        <v>21.55</v>
      </c>
      <c r="T68">
        <v>2077</v>
      </c>
      <c r="U68">
        <v>1904</v>
      </c>
      <c r="V68">
        <v>1100</v>
      </c>
      <c r="W68">
        <v>656</v>
      </c>
      <c r="X68">
        <v>7611</v>
      </c>
      <c r="Y68">
        <v>945</v>
      </c>
      <c r="Z68">
        <v>5363</v>
      </c>
      <c r="AA68">
        <v>2823</v>
      </c>
      <c r="AB68">
        <v>13.202999999999999</v>
      </c>
      <c r="AC68">
        <v>16742</v>
      </c>
      <c r="AD68">
        <v>0.51</v>
      </c>
      <c r="AE68" s="1">
        <v>0.47945519932664998</v>
      </c>
      <c r="AF68">
        <v>3.9691153863880002E-3</v>
      </c>
      <c r="AG68">
        <v>9.4631882409995205E-2</v>
      </c>
      <c r="AH68">
        <v>31.432307169872502</v>
      </c>
      <c r="AI68">
        <v>7.51</v>
      </c>
      <c r="AJ68">
        <v>20.13</v>
      </c>
    </row>
    <row r="69" spans="1:36" x14ac:dyDescent="0.25">
      <c r="A69">
        <v>5910</v>
      </c>
      <c r="B69">
        <v>2348</v>
      </c>
      <c r="C69">
        <v>1907</v>
      </c>
      <c r="D69">
        <v>5</v>
      </c>
      <c r="E69">
        <v>15</v>
      </c>
      <c r="F69">
        <v>12073</v>
      </c>
      <c r="G69">
        <v>6.33</v>
      </c>
      <c r="H69">
        <v>10.42</v>
      </c>
      <c r="I69">
        <v>5.92</v>
      </c>
      <c r="J69">
        <v>0.01</v>
      </c>
      <c r="K69">
        <v>0.03</v>
      </c>
      <c r="L69">
        <v>25.01</v>
      </c>
      <c r="M69">
        <v>7.29</v>
      </c>
      <c r="N69">
        <v>18.96</v>
      </c>
      <c r="O69">
        <v>18.36</v>
      </c>
      <c r="P69">
        <v>2.96</v>
      </c>
      <c r="Q69">
        <v>24.83</v>
      </c>
      <c r="R69">
        <v>33.340000000000003</v>
      </c>
      <c r="S69">
        <v>20.88</v>
      </c>
      <c r="T69">
        <v>2078</v>
      </c>
      <c r="U69">
        <v>1904</v>
      </c>
      <c r="V69">
        <v>1167</v>
      </c>
      <c r="W69">
        <v>1148</v>
      </c>
      <c r="X69">
        <v>8113</v>
      </c>
      <c r="Y69">
        <v>780</v>
      </c>
      <c r="Z69">
        <v>5324</v>
      </c>
      <c r="AA69">
        <v>1570</v>
      </c>
      <c r="AB69">
        <v>16.09</v>
      </c>
      <c r="AC69">
        <v>15787</v>
      </c>
      <c r="AD69">
        <v>0.43</v>
      </c>
      <c r="AE69" s="1">
        <v>0.49024408906572797</v>
      </c>
      <c r="AF69">
        <v>1.2699742643239999E-2</v>
      </c>
      <c r="AG69">
        <v>3.4433577681926703E-2</v>
      </c>
      <c r="AH69">
        <v>33.342271828372901</v>
      </c>
      <c r="AI69">
        <v>7.29</v>
      </c>
      <c r="AJ69">
        <v>18.96</v>
      </c>
    </row>
    <row r="70" spans="1:36" x14ac:dyDescent="0.25">
      <c r="A70">
        <v>6231</v>
      </c>
      <c r="B70">
        <v>626</v>
      </c>
      <c r="C70">
        <v>2440</v>
      </c>
      <c r="D70">
        <v>4</v>
      </c>
      <c r="E70">
        <v>14</v>
      </c>
      <c r="F70">
        <v>12100</v>
      </c>
      <c r="G70">
        <v>6.68</v>
      </c>
      <c r="H70">
        <v>2.78</v>
      </c>
      <c r="I70">
        <v>7.58</v>
      </c>
      <c r="J70">
        <v>0.01</v>
      </c>
      <c r="K70">
        <v>0.03</v>
      </c>
      <c r="L70">
        <v>25.06</v>
      </c>
      <c r="M70">
        <v>1.94</v>
      </c>
      <c r="N70">
        <v>24.26</v>
      </c>
      <c r="O70">
        <v>26.7</v>
      </c>
      <c r="P70">
        <v>2.35</v>
      </c>
      <c r="Q70">
        <v>24.83</v>
      </c>
      <c r="R70">
        <v>33.42</v>
      </c>
      <c r="S70">
        <v>5.59</v>
      </c>
      <c r="T70">
        <v>2078</v>
      </c>
      <c r="U70">
        <v>1904</v>
      </c>
      <c r="V70">
        <v>1169</v>
      </c>
      <c r="W70">
        <v>1711</v>
      </c>
      <c r="X70">
        <v>7364</v>
      </c>
      <c r="Y70">
        <v>597</v>
      </c>
      <c r="Z70">
        <v>5501</v>
      </c>
      <c r="AA70">
        <v>1127</v>
      </c>
      <c r="AB70">
        <v>16.059000000000001</v>
      </c>
      <c r="AC70">
        <v>14589</v>
      </c>
      <c r="AD70">
        <v>0.56000000000000005</v>
      </c>
      <c r="AE70" s="1">
        <v>0.43706480985538199</v>
      </c>
      <c r="AF70">
        <v>1.05462600276152E-2</v>
      </c>
      <c r="AG70">
        <v>3.2184276399700701E-2</v>
      </c>
      <c r="AH70">
        <v>33.4163428017646</v>
      </c>
      <c r="AI70">
        <v>1.94</v>
      </c>
      <c r="AJ70">
        <v>24.26</v>
      </c>
    </row>
    <row r="71" spans="1:36" x14ac:dyDescent="0.25">
      <c r="A71">
        <v>6376</v>
      </c>
      <c r="B71">
        <v>1525</v>
      </c>
      <c r="C71">
        <v>2074</v>
      </c>
      <c r="D71">
        <v>3</v>
      </c>
      <c r="E71">
        <v>280</v>
      </c>
      <c r="F71">
        <v>12240</v>
      </c>
      <c r="G71">
        <v>6.83</v>
      </c>
      <c r="H71">
        <v>6.77</v>
      </c>
      <c r="I71">
        <v>6.44</v>
      </c>
      <c r="J71">
        <v>0.01</v>
      </c>
      <c r="K71">
        <v>0.57999999999999996</v>
      </c>
      <c r="L71">
        <v>25.35</v>
      </c>
      <c r="M71">
        <v>4.74</v>
      </c>
      <c r="N71">
        <v>20.62</v>
      </c>
      <c r="O71">
        <v>21.85</v>
      </c>
      <c r="P71">
        <v>2.78</v>
      </c>
      <c r="Q71">
        <v>24.83</v>
      </c>
      <c r="R71">
        <v>33.799999999999997</v>
      </c>
      <c r="S71">
        <v>14.18</v>
      </c>
      <c r="T71">
        <v>2078</v>
      </c>
      <c r="U71">
        <v>1904</v>
      </c>
      <c r="V71">
        <v>1183</v>
      </c>
      <c r="W71">
        <v>1381</v>
      </c>
      <c r="X71">
        <v>7786</v>
      </c>
      <c r="Y71">
        <v>703</v>
      </c>
      <c r="Z71">
        <v>5379</v>
      </c>
      <c r="AA71">
        <v>1392</v>
      </c>
      <c r="AB71">
        <v>15.99</v>
      </c>
      <c r="AC71">
        <v>15260</v>
      </c>
      <c r="AD71">
        <v>0.49</v>
      </c>
      <c r="AE71" s="1">
        <v>0.465682148595914</v>
      </c>
      <c r="AF71">
        <v>8.8787388263434804E-3</v>
      </c>
      <c r="AG71">
        <v>0.64528003162008196</v>
      </c>
      <c r="AH71">
        <v>33.802478049194598</v>
      </c>
      <c r="AI71">
        <v>4.74</v>
      </c>
      <c r="AJ71">
        <v>20.62</v>
      </c>
    </row>
    <row r="72" spans="1:36" x14ac:dyDescent="0.25">
      <c r="A72">
        <v>14680</v>
      </c>
      <c r="B72">
        <v>395</v>
      </c>
      <c r="C72">
        <v>2476</v>
      </c>
      <c r="D72">
        <v>12</v>
      </c>
      <c r="E72">
        <v>74</v>
      </c>
      <c r="F72">
        <v>12205</v>
      </c>
      <c r="G72">
        <v>15.73</v>
      </c>
      <c r="H72">
        <v>1.75</v>
      </c>
      <c r="I72">
        <v>7.69</v>
      </c>
      <c r="J72">
        <v>0.02</v>
      </c>
      <c r="K72">
        <v>0.15</v>
      </c>
      <c r="L72">
        <v>25.28</v>
      </c>
      <c r="M72">
        <v>1.23</v>
      </c>
      <c r="N72">
        <v>24.61</v>
      </c>
      <c r="O72">
        <v>25.23</v>
      </c>
      <c r="P72">
        <v>8.8000000000000007</v>
      </c>
      <c r="Q72">
        <v>24.85</v>
      </c>
      <c r="R72">
        <v>33.71</v>
      </c>
      <c r="S72">
        <v>3.68</v>
      </c>
      <c r="T72">
        <v>2081</v>
      </c>
      <c r="U72">
        <v>1904</v>
      </c>
      <c r="V72">
        <v>1180</v>
      </c>
      <c r="W72">
        <v>1273</v>
      </c>
      <c r="X72">
        <v>6775</v>
      </c>
      <c r="Y72">
        <v>743</v>
      </c>
      <c r="Z72">
        <v>5511</v>
      </c>
      <c r="AA72">
        <v>2328</v>
      </c>
      <c r="AB72">
        <v>12.943</v>
      </c>
      <c r="AC72">
        <v>15357</v>
      </c>
      <c r="AD72">
        <v>0.66</v>
      </c>
      <c r="AE72" s="1">
        <v>0.41135511515800699</v>
      </c>
      <c r="AF72">
        <v>3.0902246073854101E-2</v>
      </c>
      <c r="AG72">
        <v>0.170733030288757</v>
      </c>
      <c r="AH72">
        <v>33.707781681021302</v>
      </c>
      <c r="AI72">
        <v>1.23</v>
      </c>
      <c r="AJ72">
        <v>24.61</v>
      </c>
    </row>
    <row r="73" spans="1:36" x14ac:dyDescent="0.25">
      <c r="A73">
        <v>11955</v>
      </c>
      <c r="B73">
        <v>181</v>
      </c>
      <c r="C73">
        <v>2578</v>
      </c>
      <c r="D73">
        <v>4</v>
      </c>
      <c r="E73">
        <v>165</v>
      </c>
      <c r="F73">
        <v>11951</v>
      </c>
      <c r="G73">
        <v>12.81</v>
      </c>
      <c r="H73">
        <v>0.81</v>
      </c>
      <c r="I73">
        <v>8.01</v>
      </c>
      <c r="J73">
        <v>0.01</v>
      </c>
      <c r="K73">
        <v>0.34</v>
      </c>
      <c r="L73">
        <v>24.75</v>
      </c>
      <c r="M73">
        <v>0.56000000000000005</v>
      </c>
      <c r="N73">
        <v>25.63</v>
      </c>
      <c r="O73">
        <v>27.03</v>
      </c>
      <c r="P73">
        <v>6.42</v>
      </c>
      <c r="Q73">
        <v>24.83</v>
      </c>
      <c r="R73">
        <v>33.01</v>
      </c>
      <c r="S73">
        <v>1.99</v>
      </c>
      <c r="T73">
        <v>2078</v>
      </c>
      <c r="U73">
        <v>1904</v>
      </c>
      <c r="V73">
        <v>1155</v>
      </c>
      <c r="W73">
        <v>1517</v>
      </c>
      <c r="X73">
        <v>6846</v>
      </c>
      <c r="Y73">
        <v>663</v>
      </c>
      <c r="Z73">
        <v>5545</v>
      </c>
      <c r="AA73">
        <v>1852</v>
      </c>
      <c r="AB73">
        <v>14.037000000000001</v>
      </c>
      <c r="AC73">
        <v>14906</v>
      </c>
      <c r="AD73">
        <v>0.64</v>
      </c>
      <c r="AE73" s="1">
        <v>0.41204376769454398</v>
      </c>
      <c r="AF73">
        <v>9.4906400358420705E-3</v>
      </c>
      <c r="AG73">
        <v>0.380513271674561</v>
      </c>
      <c r="AH73">
        <v>33.006332014693101</v>
      </c>
      <c r="AI73">
        <v>0.56000000000000005</v>
      </c>
      <c r="AJ73">
        <v>25.63</v>
      </c>
    </row>
    <row r="74" spans="1:36" x14ac:dyDescent="0.25">
      <c r="A74">
        <v>12505</v>
      </c>
      <c r="B74">
        <v>2229</v>
      </c>
      <c r="C74">
        <v>1855</v>
      </c>
      <c r="D74">
        <v>1</v>
      </c>
      <c r="E74">
        <v>366</v>
      </c>
      <c r="F74">
        <v>12150</v>
      </c>
      <c r="G74">
        <v>13.4</v>
      </c>
      <c r="H74">
        <v>9.89</v>
      </c>
      <c r="I74">
        <v>5.76</v>
      </c>
      <c r="J74">
        <v>0</v>
      </c>
      <c r="K74">
        <v>0.76</v>
      </c>
      <c r="L74">
        <v>25.17</v>
      </c>
      <c r="M74">
        <v>6.92</v>
      </c>
      <c r="N74">
        <v>18.45</v>
      </c>
      <c r="O74">
        <v>16.829999999999998</v>
      </c>
      <c r="P74">
        <v>8.14</v>
      </c>
      <c r="Q74">
        <v>24.82</v>
      </c>
      <c r="R74">
        <v>33.56</v>
      </c>
      <c r="S74">
        <v>20.63</v>
      </c>
      <c r="T74">
        <v>2077</v>
      </c>
      <c r="U74">
        <v>1904</v>
      </c>
      <c r="V74">
        <v>1174</v>
      </c>
      <c r="W74">
        <v>774</v>
      </c>
      <c r="X74">
        <v>7724</v>
      </c>
      <c r="Y74">
        <v>903</v>
      </c>
      <c r="Z74">
        <v>5306</v>
      </c>
      <c r="AA74">
        <v>2510</v>
      </c>
      <c r="AB74">
        <v>13.726000000000001</v>
      </c>
      <c r="AC74">
        <v>16443</v>
      </c>
      <c r="AD74">
        <v>0.5</v>
      </c>
      <c r="AE74" s="1">
        <v>0.47654755528349502</v>
      </c>
      <c r="AF74">
        <v>3.6723075475171701E-3</v>
      </c>
      <c r="AG74">
        <v>0.84230837563390204</v>
      </c>
      <c r="AH74">
        <v>33.556538468488398</v>
      </c>
      <c r="AI74">
        <v>6.92</v>
      </c>
      <c r="AJ74">
        <v>18.45</v>
      </c>
    </row>
    <row r="75" spans="1:36" x14ac:dyDescent="0.25">
      <c r="A75">
        <v>6179</v>
      </c>
      <c r="B75">
        <v>5341</v>
      </c>
      <c r="C75">
        <v>2618</v>
      </c>
      <c r="D75">
        <v>2</v>
      </c>
      <c r="E75">
        <v>56</v>
      </c>
      <c r="F75">
        <v>4130</v>
      </c>
      <c r="G75">
        <v>6.62</v>
      </c>
      <c r="H75">
        <v>23.71</v>
      </c>
      <c r="I75">
        <v>8.1300000000000008</v>
      </c>
      <c r="J75">
        <v>0</v>
      </c>
      <c r="K75">
        <v>0.12</v>
      </c>
      <c r="L75">
        <v>8.5500000000000007</v>
      </c>
      <c r="M75">
        <v>16.600000000000001</v>
      </c>
      <c r="N75">
        <v>26.03</v>
      </c>
      <c r="O75">
        <v>10.52</v>
      </c>
      <c r="P75">
        <v>6.49</v>
      </c>
      <c r="Q75">
        <v>24.82</v>
      </c>
      <c r="R75">
        <v>11.41</v>
      </c>
      <c r="S75">
        <v>47.54</v>
      </c>
      <c r="T75">
        <v>2077</v>
      </c>
      <c r="U75">
        <v>1904</v>
      </c>
      <c r="V75">
        <v>399</v>
      </c>
      <c r="W75">
        <v>437</v>
      </c>
      <c r="X75">
        <v>8927</v>
      </c>
      <c r="Y75">
        <v>1028</v>
      </c>
      <c r="Z75">
        <v>5559</v>
      </c>
      <c r="AA75">
        <v>2635</v>
      </c>
      <c r="AB75">
        <v>17.609000000000002</v>
      </c>
      <c r="AC75">
        <v>18149</v>
      </c>
      <c r="AD75">
        <v>0.33</v>
      </c>
      <c r="AE75" s="1">
        <v>0.63417246920192805</v>
      </c>
      <c r="AF75">
        <v>4.2637001782953E-3</v>
      </c>
      <c r="AG75">
        <v>0.129586248159164</v>
      </c>
      <c r="AH75">
        <v>11.4060282557307</v>
      </c>
      <c r="AI75">
        <v>16.600000000000001</v>
      </c>
      <c r="AJ75">
        <v>26.03</v>
      </c>
    </row>
    <row r="76" spans="1:36" x14ac:dyDescent="0.25">
      <c r="A76">
        <v>14993</v>
      </c>
      <c r="B76">
        <v>3320</v>
      </c>
      <c r="C76">
        <v>1765</v>
      </c>
      <c r="D76">
        <v>4</v>
      </c>
      <c r="E76">
        <v>1</v>
      </c>
      <c r="F76">
        <v>11311</v>
      </c>
      <c r="G76">
        <v>16.059999999999999</v>
      </c>
      <c r="H76">
        <v>14.74</v>
      </c>
      <c r="I76">
        <v>5.48</v>
      </c>
      <c r="J76">
        <v>0.01</v>
      </c>
      <c r="K76">
        <v>0</v>
      </c>
      <c r="L76">
        <v>23.43</v>
      </c>
      <c r="M76">
        <v>10.32</v>
      </c>
      <c r="N76">
        <v>17.55</v>
      </c>
      <c r="O76">
        <v>12.43</v>
      </c>
      <c r="P76">
        <v>11.53</v>
      </c>
      <c r="Q76">
        <v>24.83</v>
      </c>
      <c r="R76">
        <v>31.24</v>
      </c>
      <c r="S76">
        <v>29.48</v>
      </c>
      <c r="T76">
        <v>2078</v>
      </c>
      <c r="U76">
        <v>1904</v>
      </c>
      <c r="V76">
        <v>1093</v>
      </c>
      <c r="W76">
        <v>302</v>
      </c>
      <c r="X76">
        <v>7934</v>
      </c>
      <c r="Y76">
        <v>1060</v>
      </c>
      <c r="Z76">
        <v>5276</v>
      </c>
      <c r="AA76">
        <v>3211</v>
      </c>
      <c r="AB76">
        <v>12.845000000000001</v>
      </c>
      <c r="AC76">
        <v>17481</v>
      </c>
      <c r="AD76">
        <v>0.48</v>
      </c>
      <c r="AE76" s="1">
        <v>0.51067411431632104</v>
      </c>
      <c r="AF76">
        <v>9.99253703488104E-3</v>
      </c>
      <c r="AG76">
        <v>2.3746391353233901E-3</v>
      </c>
      <c r="AH76">
        <v>31.238021575439902</v>
      </c>
      <c r="AI76">
        <v>10.32</v>
      </c>
      <c r="AJ76">
        <v>17.55</v>
      </c>
    </row>
    <row r="77" spans="1:36" x14ac:dyDescent="0.25">
      <c r="A77">
        <v>10384</v>
      </c>
      <c r="B77">
        <v>1245</v>
      </c>
      <c r="C77">
        <v>2332</v>
      </c>
      <c r="D77">
        <v>3</v>
      </c>
      <c r="E77">
        <v>261</v>
      </c>
      <c r="F77">
        <v>11443</v>
      </c>
      <c r="G77">
        <v>11.12</v>
      </c>
      <c r="H77">
        <v>5.52</v>
      </c>
      <c r="I77">
        <v>7.24</v>
      </c>
      <c r="J77">
        <v>0.01</v>
      </c>
      <c r="K77">
        <v>0.54</v>
      </c>
      <c r="L77">
        <v>23.7</v>
      </c>
      <c r="M77">
        <v>3.87</v>
      </c>
      <c r="N77">
        <v>23.18</v>
      </c>
      <c r="O77">
        <v>22.38</v>
      </c>
      <c r="P77">
        <v>5.56</v>
      </c>
      <c r="Q77">
        <v>24.83</v>
      </c>
      <c r="R77">
        <v>31.6</v>
      </c>
      <c r="S77">
        <v>11.65</v>
      </c>
      <c r="T77">
        <v>2078</v>
      </c>
      <c r="U77">
        <v>1904</v>
      </c>
      <c r="V77">
        <v>1106</v>
      </c>
      <c r="W77">
        <v>1268</v>
      </c>
      <c r="X77">
        <v>7378</v>
      </c>
      <c r="Y77">
        <v>744</v>
      </c>
      <c r="Z77">
        <v>5463</v>
      </c>
      <c r="AA77">
        <v>1914</v>
      </c>
      <c r="AB77">
        <v>14.696999999999999</v>
      </c>
      <c r="AC77">
        <v>15499</v>
      </c>
      <c r="AD77">
        <v>0.54</v>
      </c>
      <c r="AE77" s="1">
        <v>0.45037875889509499</v>
      </c>
      <c r="AF77">
        <v>8.2088897089526401E-3</v>
      </c>
      <c r="AG77">
        <v>0.60053023342113798</v>
      </c>
      <c r="AH77">
        <v>31.603023264620202</v>
      </c>
      <c r="AI77">
        <v>3.87</v>
      </c>
      <c r="AJ77">
        <v>23.18</v>
      </c>
    </row>
    <row r="78" spans="1:36" x14ac:dyDescent="0.25">
      <c r="A78">
        <v>6104</v>
      </c>
      <c r="B78">
        <v>25</v>
      </c>
      <c r="C78">
        <v>2555</v>
      </c>
      <c r="D78">
        <v>0</v>
      </c>
      <c r="E78">
        <v>273</v>
      </c>
      <c r="F78">
        <v>12193</v>
      </c>
      <c r="G78">
        <v>6.54</v>
      </c>
      <c r="H78">
        <v>0.11</v>
      </c>
      <c r="I78">
        <v>7.94</v>
      </c>
      <c r="J78">
        <v>0</v>
      </c>
      <c r="K78">
        <v>0.56000000000000005</v>
      </c>
      <c r="L78">
        <v>25.25</v>
      </c>
      <c r="M78">
        <v>0.08</v>
      </c>
      <c r="N78">
        <v>25.4</v>
      </c>
      <c r="O78">
        <v>29.67</v>
      </c>
      <c r="P78">
        <v>2.16</v>
      </c>
      <c r="Q78">
        <v>24.82</v>
      </c>
      <c r="R78">
        <v>33.67</v>
      </c>
      <c r="S78">
        <v>0.85</v>
      </c>
      <c r="T78">
        <v>2077</v>
      </c>
      <c r="U78">
        <v>1904</v>
      </c>
      <c r="V78">
        <v>1178</v>
      </c>
      <c r="W78">
        <v>1909</v>
      </c>
      <c r="X78">
        <v>7161</v>
      </c>
      <c r="Y78">
        <v>533</v>
      </c>
      <c r="Z78">
        <v>5538</v>
      </c>
      <c r="AA78">
        <v>923</v>
      </c>
      <c r="AB78">
        <v>16.18</v>
      </c>
      <c r="AC78">
        <v>14155</v>
      </c>
      <c r="AD78">
        <v>0.61</v>
      </c>
      <c r="AE78" s="1">
        <v>0.423444793021654</v>
      </c>
      <c r="AF78" s="15">
        <v>8.6706738021461198E-4</v>
      </c>
      <c r="AG78">
        <v>0.62743156113667597</v>
      </c>
      <c r="AH78">
        <v>33.673252852994601</v>
      </c>
      <c r="AI78">
        <v>0.08</v>
      </c>
      <c r="AJ78">
        <v>25.4</v>
      </c>
    </row>
    <row r="79" spans="1:36" x14ac:dyDescent="0.25">
      <c r="A79">
        <v>5808</v>
      </c>
      <c r="B79">
        <v>822</v>
      </c>
      <c r="C79">
        <v>2306</v>
      </c>
      <c r="D79">
        <v>0</v>
      </c>
      <c r="E79">
        <v>331</v>
      </c>
      <c r="F79">
        <v>12137</v>
      </c>
      <c r="G79">
        <v>6.22</v>
      </c>
      <c r="H79">
        <v>3.65</v>
      </c>
      <c r="I79">
        <v>7.16</v>
      </c>
      <c r="J79">
        <v>0</v>
      </c>
      <c r="K79">
        <v>0.69</v>
      </c>
      <c r="L79">
        <v>25.14</v>
      </c>
      <c r="M79">
        <v>2.5499999999999998</v>
      </c>
      <c r="N79">
        <v>22.92</v>
      </c>
      <c r="O79">
        <v>25.67</v>
      </c>
      <c r="P79">
        <v>2.16</v>
      </c>
      <c r="Q79">
        <v>24.82</v>
      </c>
      <c r="R79">
        <v>33.520000000000003</v>
      </c>
      <c r="S79">
        <v>8.0500000000000007</v>
      </c>
      <c r="T79">
        <v>2077</v>
      </c>
      <c r="U79">
        <v>1904</v>
      </c>
      <c r="V79">
        <v>1173</v>
      </c>
      <c r="W79">
        <v>1656</v>
      </c>
      <c r="X79">
        <v>7523</v>
      </c>
      <c r="Y79">
        <v>614</v>
      </c>
      <c r="Z79">
        <v>5455</v>
      </c>
      <c r="AA79">
        <v>1104</v>
      </c>
      <c r="AB79">
        <v>16.273</v>
      </c>
      <c r="AC79">
        <v>14696</v>
      </c>
      <c r="AD79">
        <v>0.54</v>
      </c>
      <c r="AE79" s="1">
        <v>0.447930216542964</v>
      </c>
      <c r="AF79" s="15">
        <v>8.8938813703814403E-4</v>
      </c>
      <c r="AG79">
        <v>0.76220039707528198</v>
      </c>
      <c r="AH79">
        <v>33.518429572915899</v>
      </c>
      <c r="AI79">
        <v>2.5499999999999998</v>
      </c>
      <c r="AJ79">
        <v>22.92</v>
      </c>
    </row>
    <row r="80" spans="1:36" x14ac:dyDescent="0.25">
      <c r="A80">
        <v>14867</v>
      </c>
      <c r="B80">
        <v>4052</v>
      </c>
      <c r="C80">
        <v>1357</v>
      </c>
      <c r="D80">
        <v>0</v>
      </c>
      <c r="E80">
        <v>7</v>
      </c>
      <c r="F80">
        <v>12169</v>
      </c>
      <c r="G80">
        <v>15.93</v>
      </c>
      <c r="H80">
        <v>17.98</v>
      </c>
      <c r="I80">
        <v>4.22</v>
      </c>
      <c r="J80">
        <v>0</v>
      </c>
      <c r="K80">
        <v>0.02</v>
      </c>
      <c r="L80">
        <v>25.21</v>
      </c>
      <c r="M80">
        <v>12.59</v>
      </c>
      <c r="N80">
        <v>13.49</v>
      </c>
      <c r="O80">
        <v>9.7899999999999991</v>
      </c>
      <c r="P80">
        <v>13.26</v>
      </c>
      <c r="Q80">
        <v>24.82</v>
      </c>
      <c r="R80">
        <v>33.61</v>
      </c>
      <c r="S80">
        <v>35.99</v>
      </c>
      <c r="T80">
        <v>2077</v>
      </c>
      <c r="U80">
        <v>1904</v>
      </c>
      <c r="V80">
        <v>1176</v>
      </c>
      <c r="W80">
        <v>27</v>
      </c>
      <c r="X80">
        <v>8300</v>
      </c>
      <c r="Y80">
        <v>1147</v>
      </c>
      <c r="Z80">
        <v>5142</v>
      </c>
      <c r="AA80">
        <v>3404</v>
      </c>
      <c r="AB80">
        <v>12.66</v>
      </c>
      <c r="AC80">
        <v>17993</v>
      </c>
      <c r="AD80">
        <v>0.48</v>
      </c>
      <c r="AE80" s="1">
        <v>0.54020965643890095</v>
      </c>
      <c r="AF80" s="15">
        <v>7.7595984365967099E-4</v>
      </c>
      <c r="AG80">
        <v>1.6773274156457699E-2</v>
      </c>
      <c r="AH80">
        <v>33.607687286302799</v>
      </c>
      <c r="AI80">
        <v>12.59</v>
      </c>
      <c r="AJ80">
        <v>13.49</v>
      </c>
    </row>
    <row r="81" spans="1:36" x14ac:dyDescent="0.25">
      <c r="A81">
        <v>14138</v>
      </c>
      <c r="B81">
        <v>4115</v>
      </c>
      <c r="C81">
        <v>1328</v>
      </c>
      <c r="D81">
        <v>2</v>
      </c>
      <c r="E81">
        <v>44</v>
      </c>
      <c r="F81">
        <v>12176</v>
      </c>
      <c r="G81">
        <v>15.15</v>
      </c>
      <c r="H81">
        <v>18.27</v>
      </c>
      <c r="I81">
        <v>4.12</v>
      </c>
      <c r="J81">
        <v>0</v>
      </c>
      <c r="K81">
        <v>0.09</v>
      </c>
      <c r="L81">
        <v>25.22</v>
      </c>
      <c r="M81">
        <v>12.79</v>
      </c>
      <c r="N81">
        <v>13.2</v>
      </c>
      <c r="O81">
        <v>9.6999999999999993</v>
      </c>
      <c r="P81">
        <v>12.76</v>
      </c>
      <c r="Q81">
        <v>24.82</v>
      </c>
      <c r="R81">
        <v>33.630000000000003</v>
      </c>
      <c r="S81">
        <v>36.630000000000003</v>
      </c>
      <c r="T81">
        <v>2077</v>
      </c>
      <c r="U81">
        <v>1904</v>
      </c>
      <c r="V81">
        <v>1177</v>
      </c>
      <c r="W81">
        <v>48</v>
      </c>
      <c r="X81">
        <v>8377</v>
      </c>
      <c r="Y81">
        <v>1140</v>
      </c>
      <c r="Z81">
        <v>5134</v>
      </c>
      <c r="AA81">
        <v>3311</v>
      </c>
      <c r="AB81">
        <v>12.933999999999999</v>
      </c>
      <c r="AC81">
        <v>17962</v>
      </c>
      <c r="AD81">
        <v>0.47</v>
      </c>
      <c r="AE81" s="1">
        <v>0.54441808860662599</v>
      </c>
      <c r="AF81">
        <v>4.7040479102488401E-3</v>
      </c>
      <c r="AG81">
        <v>0.100815035872989</v>
      </c>
      <c r="AH81">
        <v>33.626557119212897</v>
      </c>
      <c r="AI81">
        <v>12.79</v>
      </c>
      <c r="AJ81">
        <v>13.2</v>
      </c>
    </row>
    <row r="82" spans="1:36" x14ac:dyDescent="0.25">
      <c r="A82">
        <v>10191</v>
      </c>
      <c r="B82">
        <v>4125</v>
      </c>
      <c r="C82">
        <v>1401</v>
      </c>
      <c r="D82">
        <v>5</v>
      </c>
      <c r="E82">
        <v>19</v>
      </c>
      <c r="F82">
        <v>11830</v>
      </c>
      <c r="G82">
        <v>10.92</v>
      </c>
      <c r="H82">
        <v>18.309999999999999</v>
      </c>
      <c r="I82">
        <v>4.3499999999999996</v>
      </c>
      <c r="J82">
        <v>0.01</v>
      </c>
      <c r="K82">
        <v>0.04</v>
      </c>
      <c r="L82">
        <v>24.5</v>
      </c>
      <c r="M82">
        <v>12.82</v>
      </c>
      <c r="N82">
        <v>13.93</v>
      </c>
      <c r="O82">
        <v>10.38</v>
      </c>
      <c r="P82">
        <v>9.0299999999999994</v>
      </c>
      <c r="Q82">
        <v>24.83</v>
      </c>
      <c r="R82">
        <v>32.67</v>
      </c>
      <c r="S82">
        <v>36.659999999999997</v>
      </c>
      <c r="T82">
        <v>2078</v>
      </c>
      <c r="U82">
        <v>1904</v>
      </c>
      <c r="V82">
        <v>1143</v>
      </c>
      <c r="W82">
        <v>297</v>
      </c>
      <c r="X82">
        <v>8597</v>
      </c>
      <c r="Y82">
        <v>1058</v>
      </c>
      <c r="Z82">
        <v>5157</v>
      </c>
      <c r="AA82">
        <v>2720</v>
      </c>
      <c r="AB82">
        <v>14.465</v>
      </c>
      <c r="AC82">
        <v>17532</v>
      </c>
      <c r="AD82">
        <v>0.4</v>
      </c>
      <c r="AE82" s="1">
        <v>0.54992730889892105</v>
      </c>
      <c r="AF82">
        <v>1.3037268416631101E-2</v>
      </c>
      <c r="AG82">
        <v>4.3905388161818201E-2</v>
      </c>
      <c r="AH82">
        <v>32.671721562405899</v>
      </c>
      <c r="AI82">
        <v>12.82</v>
      </c>
      <c r="AJ82">
        <v>13.93</v>
      </c>
    </row>
    <row r="83" spans="1:36" x14ac:dyDescent="0.25">
      <c r="A83">
        <v>14815</v>
      </c>
      <c r="B83">
        <v>7</v>
      </c>
      <c r="C83">
        <v>2600</v>
      </c>
      <c r="D83">
        <v>9</v>
      </c>
      <c r="E83">
        <v>130</v>
      </c>
      <c r="F83">
        <v>12140</v>
      </c>
      <c r="G83">
        <v>15.87</v>
      </c>
      <c r="H83">
        <v>0.03</v>
      </c>
      <c r="I83">
        <v>8.08</v>
      </c>
      <c r="J83">
        <v>0.02</v>
      </c>
      <c r="K83">
        <v>0.27</v>
      </c>
      <c r="L83">
        <v>25.15</v>
      </c>
      <c r="M83">
        <v>0.02</v>
      </c>
      <c r="N83">
        <v>25.85</v>
      </c>
      <c r="O83">
        <v>27.15</v>
      </c>
      <c r="P83">
        <v>8.76</v>
      </c>
      <c r="Q83">
        <v>24.84</v>
      </c>
      <c r="R83">
        <v>33.53</v>
      </c>
      <c r="S83">
        <v>0.36</v>
      </c>
      <c r="T83">
        <v>2080</v>
      </c>
      <c r="U83">
        <v>1904</v>
      </c>
      <c r="V83">
        <v>1173</v>
      </c>
      <c r="W83">
        <v>1397</v>
      </c>
      <c r="X83">
        <v>6607</v>
      </c>
      <c r="Y83">
        <v>703</v>
      </c>
      <c r="Z83">
        <v>5552</v>
      </c>
      <c r="AA83">
        <v>2234</v>
      </c>
      <c r="AB83">
        <v>12.941000000000001</v>
      </c>
      <c r="AC83">
        <v>15096</v>
      </c>
      <c r="AD83">
        <v>0.69</v>
      </c>
      <c r="AE83" s="1">
        <v>0.40056622541893</v>
      </c>
      <c r="AF83">
        <v>2.3207245416616899E-2</v>
      </c>
      <c r="AG83">
        <v>0.29839225980322398</v>
      </c>
      <c r="AH83">
        <v>33.528421287284402</v>
      </c>
      <c r="AI83">
        <v>0.02</v>
      </c>
      <c r="AJ83">
        <v>25.85</v>
      </c>
    </row>
    <row r="84" spans="1:36" x14ac:dyDescent="0.25">
      <c r="A84">
        <v>10318</v>
      </c>
      <c r="B84">
        <v>3910</v>
      </c>
      <c r="C84">
        <v>1500</v>
      </c>
      <c r="D84">
        <v>1</v>
      </c>
      <c r="E84">
        <v>646</v>
      </c>
      <c r="F84">
        <v>11052</v>
      </c>
      <c r="G84">
        <v>11.05</v>
      </c>
      <c r="H84">
        <v>17.36</v>
      </c>
      <c r="I84">
        <v>4.66</v>
      </c>
      <c r="J84">
        <v>0</v>
      </c>
      <c r="K84">
        <v>1.34</v>
      </c>
      <c r="L84">
        <v>22.89</v>
      </c>
      <c r="M84">
        <v>12.15</v>
      </c>
      <c r="N84">
        <v>14.92</v>
      </c>
      <c r="O84">
        <v>11.03</v>
      </c>
      <c r="P84">
        <v>8.56</v>
      </c>
      <c r="Q84">
        <v>24.82</v>
      </c>
      <c r="R84">
        <v>30.52</v>
      </c>
      <c r="S84">
        <v>36.200000000000003</v>
      </c>
      <c r="T84">
        <v>2077</v>
      </c>
      <c r="U84">
        <v>1904</v>
      </c>
      <c r="V84">
        <v>1068</v>
      </c>
      <c r="W84">
        <v>368</v>
      </c>
      <c r="X84">
        <v>8552</v>
      </c>
      <c r="Y84">
        <v>1035</v>
      </c>
      <c r="Z84">
        <v>5189</v>
      </c>
      <c r="AA84">
        <v>2644</v>
      </c>
      <c r="AB84">
        <v>14.757</v>
      </c>
      <c r="AC84">
        <v>17420</v>
      </c>
      <c r="AD84">
        <v>0.4</v>
      </c>
      <c r="AE84" s="1">
        <v>0.55130461397199404</v>
      </c>
      <c r="AF84">
        <v>2.76346540201463E-3</v>
      </c>
      <c r="AG84">
        <v>1.4876489035460301</v>
      </c>
      <c r="AH84">
        <v>30.523683019907299</v>
      </c>
      <c r="AI84">
        <v>12.15</v>
      </c>
      <c r="AJ84">
        <v>14.92</v>
      </c>
    </row>
    <row r="85" spans="1:36" x14ac:dyDescent="0.25">
      <c r="A85">
        <v>6004</v>
      </c>
      <c r="B85">
        <v>769</v>
      </c>
      <c r="C85">
        <v>2349</v>
      </c>
      <c r="D85">
        <v>21</v>
      </c>
      <c r="E85">
        <v>103</v>
      </c>
      <c r="F85">
        <v>12213</v>
      </c>
      <c r="G85">
        <v>6.43</v>
      </c>
      <c r="H85">
        <v>3.41</v>
      </c>
      <c r="I85">
        <v>7.3</v>
      </c>
      <c r="J85">
        <v>0.04</v>
      </c>
      <c r="K85">
        <v>0.21</v>
      </c>
      <c r="L85">
        <v>25.3</v>
      </c>
      <c r="M85">
        <v>2.39</v>
      </c>
      <c r="N85">
        <v>23.36</v>
      </c>
      <c r="O85">
        <v>25.93</v>
      </c>
      <c r="P85">
        <v>2.2599999999999998</v>
      </c>
      <c r="Q85">
        <v>24.87</v>
      </c>
      <c r="R85">
        <v>33.729999999999997</v>
      </c>
      <c r="S85">
        <v>7.06</v>
      </c>
      <c r="T85">
        <v>2084</v>
      </c>
      <c r="U85">
        <v>1904</v>
      </c>
      <c r="V85">
        <v>1180</v>
      </c>
      <c r="W85">
        <v>1667</v>
      </c>
      <c r="X85">
        <v>7464</v>
      </c>
      <c r="Y85">
        <v>611</v>
      </c>
      <c r="Z85">
        <v>5469</v>
      </c>
      <c r="AA85">
        <v>1128</v>
      </c>
      <c r="AB85">
        <v>16.138999999999999</v>
      </c>
      <c r="AC85">
        <v>14672</v>
      </c>
      <c r="AD85">
        <v>0.55000000000000004</v>
      </c>
      <c r="AE85" s="1">
        <v>0.44272706404468498</v>
      </c>
      <c r="AF85">
        <v>5.3179649275754602E-2</v>
      </c>
      <c r="AG85">
        <v>0.23646082887925299</v>
      </c>
      <c r="AH85">
        <v>33.729626476081201</v>
      </c>
      <c r="AI85">
        <v>2.39</v>
      </c>
      <c r="AJ85">
        <v>23.36</v>
      </c>
    </row>
    <row r="86" spans="1:36" x14ac:dyDescent="0.25">
      <c r="A86">
        <v>6070</v>
      </c>
      <c r="B86">
        <v>53</v>
      </c>
      <c r="C86">
        <v>2546</v>
      </c>
      <c r="D86">
        <v>4</v>
      </c>
      <c r="E86">
        <v>273</v>
      </c>
      <c r="F86">
        <v>12192</v>
      </c>
      <c r="G86">
        <v>6.5</v>
      </c>
      <c r="H86">
        <v>0.24</v>
      </c>
      <c r="I86">
        <v>7.91</v>
      </c>
      <c r="J86">
        <v>0.01</v>
      </c>
      <c r="K86">
        <v>0.56000000000000005</v>
      </c>
      <c r="L86">
        <v>25.25</v>
      </c>
      <c r="M86">
        <v>0.16</v>
      </c>
      <c r="N86">
        <v>25.31</v>
      </c>
      <c r="O86">
        <v>29.54</v>
      </c>
      <c r="P86">
        <v>2.15</v>
      </c>
      <c r="Q86">
        <v>24.83</v>
      </c>
      <c r="R86">
        <v>33.67</v>
      </c>
      <c r="S86">
        <v>1.1000000000000001</v>
      </c>
      <c r="T86">
        <v>2078</v>
      </c>
      <c r="U86">
        <v>1904</v>
      </c>
      <c r="V86">
        <v>1178</v>
      </c>
      <c r="W86">
        <v>1901</v>
      </c>
      <c r="X86">
        <v>7177</v>
      </c>
      <c r="Y86">
        <v>535</v>
      </c>
      <c r="Z86">
        <v>5535</v>
      </c>
      <c r="AA86">
        <v>926</v>
      </c>
      <c r="AB86">
        <v>16.193000000000001</v>
      </c>
      <c r="AC86">
        <v>14173</v>
      </c>
      <c r="AD86">
        <v>0.61</v>
      </c>
      <c r="AE86" s="1">
        <v>0.42443951335220698</v>
      </c>
      <c r="AF86">
        <v>1.1622443628305199E-2</v>
      </c>
      <c r="AG86">
        <v>0.62718577829778399</v>
      </c>
      <c r="AH86">
        <v>33.670161160983596</v>
      </c>
      <c r="AI86">
        <v>0.16</v>
      </c>
      <c r="AJ86">
        <v>25.31</v>
      </c>
    </row>
    <row r="87" spans="1:36" x14ac:dyDescent="0.25">
      <c r="A87">
        <v>7027</v>
      </c>
      <c r="B87">
        <v>1258</v>
      </c>
      <c r="C87">
        <v>2360</v>
      </c>
      <c r="D87">
        <v>9</v>
      </c>
      <c r="E87">
        <v>4</v>
      </c>
      <c r="F87">
        <v>11538</v>
      </c>
      <c r="G87">
        <v>7.53</v>
      </c>
      <c r="H87">
        <v>5.58</v>
      </c>
      <c r="I87">
        <v>7.33</v>
      </c>
      <c r="J87">
        <v>0.02</v>
      </c>
      <c r="K87">
        <v>0.01</v>
      </c>
      <c r="L87">
        <v>23.9</v>
      </c>
      <c r="M87">
        <v>3.91</v>
      </c>
      <c r="N87">
        <v>23.46</v>
      </c>
      <c r="O87">
        <v>23.49</v>
      </c>
      <c r="P87">
        <v>3.04</v>
      </c>
      <c r="Q87">
        <v>24.84</v>
      </c>
      <c r="R87">
        <v>31.87</v>
      </c>
      <c r="S87">
        <v>11.18</v>
      </c>
      <c r="T87">
        <v>2080</v>
      </c>
      <c r="U87">
        <v>1904</v>
      </c>
      <c r="V87">
        <v>1115</v>
      </c>
      <c r="W87">
        <v>1472</v>
      </c>
      <c r="X87">
        <v>7553</v>
      </c>
      <c r="Y87">
        <v>677</v>
      </c>
      <c r="Z87">
        <v>5474</v>
      </c>
      <c r="AA87">
        <v>1425</v>
      </c>
      <c r="AB87">
        <v>15.855</v>
      </c>
      <c r="AC87">
        <v>15129</v>
      </c>
      <c r="AD87">
        <v>0.52</v>
      </c>
      <c r="AE87" s="1">
        <v>0.45535236054786099</v>
      </c>
      <c r="AF87">
        <v>2.4498366349167199E-2</v>
      </c>
      <c r="AG87">
        <v>9.2684165126643708E-3</v>
      </c>
      <c r="AH87">
        <v>31.8661419161411</v>
      </c>
      <c r="AI87">
        <v>3.91</v>
      </c>
      <c r="AJ87">
        <v>23.46</v>
      </c>
    </row>
    <row r="88" spans="1:36" x14ac:dyDescent="0.25">
      <c r="A88">
        <v>5890</v>
      </c>
      <c r="B88">
        <v>3978</v>
      </c>
      <c r="C88">
        <v>1356</v>
      </c>
      <c r="D88">
        <v>4</v>
      </c>
      <c r="E88">
        <v>73</v>
      </c>
      <c r="F88">
        <v>12215</v>
      </c>
      <c r="G88">
        <v>6.31</v>
      </c>
      <c r="H88">
        <v>17.649999999999999</v>
      </c>
      <c r="I88">
        <v>4.21</v>
      </c>
      <c r="J88">
        <v>0.01</v>
      </c>
      <c r="K88">
        <v>0.15</v>
      </c>
      <c r="L88">
        <v>25.3</v>
      </c>
      <c r="M88">
        <v>12.36</v>
      </c>
      <c r="N88">
        <v>13.48</v>
      </c>
      <c r="O88">
        <v>11.72</v>
      </c>
      <c r="P88">
        <v>5.26</v>
      </c>
      <c r="Q88">
        <v>24.83</v>
      </c>
      <c r="R88">
        <v>33.729999999999997</v>
      </c>
      <c r="S88">
        <v>35.479999999999997</v>
      </c>
      <c r="T88">
        <v>2078</v>
      </c>
      <c r="U88">
        <v>1904</v>
      </c>
      <c r="V88">
        <v>1180</v>
      </c>
      <c r="W88">
        <v>588</v>
      </c>
      <c r="X88">
        <v>8823</v>
      </c>
      <c r="Y88">
        <v>960</v>
      </c>
      <c r="Z88">
        <v>5140</v>
      </c>
      <c r="AA88">
        <v>2030</v>
      </c>
      <c r="AB88">
        <v>15.991</v>
      </c>
      <c r="AC88">
        <v>16953</v>
      </c>
      <c r="AD88">
        <v>0.35</v>
      </c>
      <c r="AE88" s="1">
        <v>0.55115158007498599</v>
      </c>
      <c r="AF88">
        <v>1.1262798656470899E-2</v>
      </c>
      <c r="AG88">
        <v>0.168598532212279</v>
      </c>
      <c r="AH88">
        <v>33.733485885357801</v>
      </c>
      <c r="AI88">
        <v>12.36</v>
      </c>
      <c r="AJ88">
        <v>13.48</v>
      </c>
    </row>
    <row r="89" spans="1:36" x14ac:dyDescent="0.25">
      <c r="A89">
        <v>14996</v>
      </c>
      <c r="B89">
        <v>3107</v>
      </c>
      <c r="C89">
        <v>1638</v>
      </c>
      <c r="D89">
        <v>8</v>
      </c>
      <c r="E89">
        <v>12</v>
      </c>
      <c r="F89">
        <v>12223</v>
      </c>
      <c r="G89">
        <v>16.07</v>
      </c>
      <c r="H89">
        <v>13.79</v>
      </c>
      <c r="I89">
        <v>5.09</v>
      </c>
      <c r="J89">
        <v>0.02</v>
      </c>
      <c r="K89">
        <v>0.02</v>
      </c>
      <c r="L89">
        <v>25.32</v>
      </c>
      <c r="M89">
        <v>9.65</v>
      </c>
      <c r="N89">
        <v>16.29</v>
      </c>
      <c r="O89">
        <v>12.83</v>
      </c>
      <c r="P89">
        <v>11.38</v>
      </c>
      <c r="Q89">
        <v>24.84</v>
      </c>
      <c r="R89">
        <v>33.76</v>
      </c>
      <c r="S89">
        <v>27.61</v>
      </c>
      <c r="T89">
        <v>2080</v>
      </c>
      <c r="U89">
        <v>1904</v>
      </c>
      <c r="V89">
        <v>1181</v>
      </c>
      <c r="W89">
        <v>337</v>
      </c>
      <c r="X89">
        <v>7897</v>
      </c>
      <c r="Y89">
        <v>1047</v>
      </c>
      <c r="Z89">
        <v>5235</v>
      </c>
      <c r="AA89">
        <v>3153</v>
      </c>
      <c r="AB89">
        <v>12.657</v>
      </c>
      <c r="AC89">
        <v>17332</v>
      </c>
      <c r="AD89">
        <v>0.49</v>
      </c>
      <c r="AE89" s="1">
        <v>0.49950263983472298</v>
      </c>
      <c r="AF89">
        <v>2.1606415606614499E-2</v>
      </c>
      <c r="AG89">
        <v>2.6476295389965598E-2</v>
      </c>
      <c r="AH89">
        <v>33.7559664786898</v>
      </c>
      <c r="AI89">
        <v>9.65</v>
      </c>
      <c r="AJ89">
        <v>16.29</v>
      </c>
    </row>
    <row r="90" spans="1:36" x14ac:dyDescent="0.25">
      <c r="A90">
        <v>6251</v>
      </c>
      <c r="B90">
        <v>2371</v>
      </c>
      <c r="C90">
        <v>1892</v>
      </c>
      <c r="D90">
        <v>0</v>
      </c>
      <c r="E90">
        <v>42</v>
      </c>
      <c r="F90">
        <v>12088</v>
      </c>
      <c r="G90">
        <v>6.7</v>
      </c>
      <c r="H90">
        <v>10.53</v>
      </c>
      <c r="I90">
        <v>5.88</v>
      </c>
      <c r="J90">
        <v>0</v>
      </c>
      <c r="K90">
        <v>0.09</v>
      </c>
      <c r="L90">
        <v>25.04</v>
      </c>
      <c r="M90">
        <v>7.37</v>
      </c>
      <c r="N90">
        <v>18.809999999999999</v>
      </c>
      <c r="O90">
        <v>18.09</v>
      </c>
      <c r="P90">
        <v>3.21</v>
      </c>
      <c r="Q90">
        <v>24.82</v>
      </c>
      <c r="R90">
        <v>33.380000000000003</v>
      </c>
      <c r="S90">
        <v>21.15</v>
      </c>
      <c r="T90">
        <v>2077</v>
      </c>
      <c r="U90">
        <v>1904</v>
      </c>
      <c r="V90">
        <v>1168</v>
      </c>
      <c r="W90">
        <v>1118</v>
      </c>
      <c r="X90">
        <v>8106</v>
      </c>
      <c r="Y90">
        <v>790</v>
      </c>
      <c r="Z90">
        <v>5320</v>
      </c>
      <c r="AA90">
        <v>1627</v>
      </c>
      <c r="AB90">
        <v>15.964</v>
      </c>
      <c r="AC90">
        <v>15843</v>
      </c>
      <c r="AD90">
        <v>0.43</v>
      </c>
      <c r="AE90" s="1">
        <v>0.490167572117224</v>
      </c>
      <c r="AF90" s="15">
        <v>9.4085566830184105E-4</v>
      </c>
      <c r="AG90">
        <v>9.6065455616146697E-2</v>
      </c>
      <c r="AH90">
        <v>33.3831735552412</v>
      </c>
      <c r="AI90">
        <v>7.37</v>
      </c>
      <c r="AJ90">
        <v>18.809999999999999</v>
      </c>
    </row>
    <row r="91" spans="1:36" x14ac:dyDescent="0.25">
      <c r="A91">
        <v>6885</v>
      </c>
      <c r="B91">
        <v>3122</v>
      </c>
      <c r="C91">
        <v>1754</v>
      </c>
      <c r="D91">
        <v>3</v>
      </c>
      <c r="E91">
        <v>165</v>
      </c>
      <c r="F91">
        <v>11494</v>
      </c>
      <c r="G91">
        <v>7.38</v>
      </c>
      <c r="H91">
        <v>13.86</v>
      </c>
      <c r="I91">
        <v>5.45</v>
      </c>
      <c r="J91">
        <v>0.01</v>
      </c>
      <c r="K91">
        <v>0.34</v>
      </c>
      <c r="L91">
        <v>23.81</v>
      </c>
      <c r="M91">
        <v>9.6999999999999993</v>
      </c>
      <c r="N91">
        <v>17.440000000000001</v>
      </c>
      <c r="O91">
        <v>14.76</v>
      </c>
      <c r="P91">
        <v>4.32</v>
      </c>
      <c r="Q91">
        <v>24.83</v>
      </c>
      <c r="R91">
        <v>31.74</v>
      </c>
      <c r="S91">
        <v>28.1</v>
      </c>
      <c r="T91">
        <v>2078</v>
      </c>
      <c r="U91">
        <v>1904</v>
      </c>
      <c r="V91">
        <v>1111</v>
      </c>
      <c r="W91">
        <v>844</v>
      </c>
      <c r="X91">
        <v>8374</v>
      </c>
      <c r="Y91">
        <v>880</v>
      </c>
      <c r="Z91">
        <v>5274</v>
      </c>
      <c r="AA91">
        <v>1928</v>
      </c>
      <c r="AB91">
        <v>15.852</v>
      </c>
      <c r="AC91">
        <v>16456</v>
      </c>
      <c r="AD91">
        <v>0.38</v>
      </c>
      <c r="AE91" s="1">
        <v>0.51794322442420904</v>
      </c>
      <c r="AF91">
        <v>8.5668467381948103E-3</v>
      </c>
      <c r="AG91">
        <v>0.379283253423987</v>
      </c>
      <c r="AH91">
        <v>31.744304779786201</v>
      </c>
      <c r="AI91">
        <v>9.6999999999999993</v>
      </c>
      <c r="AJ91">
        <v>17.440000000000001</v>
      </c>
    </row>
    <row r="92" spans="1:36" x14ac:dyDescent="0.25">
      <c r="A92">
        <v>14714</v>
      </c>
      <c r="B92">
        <v>2162</v>
      </c>
      <c r="C92">
        <v>1921</v>
      </c>
      <c r="D92">
        <v>22</v>
      </c>
      <c r="E92">
        <v>618</v>
      </c>
      <c r="F92">
        <v>11665</v>
      </c>
      <c r="G92">
        <v>15.76</v>
      </c>
      <c r="H92">
        <v>9.6</v>
      </c>
      <c r="I92">
        <v>5.97</v>
      </c>
      <c r="J92">
        <v>0.04</v>
      </c>
      <c r="K92">
        <v>1.28</v>
      </c>
      <c r="L92">
        <v>24.16</v>
      </c>
      <c r="M92">
        <v>6.72</v>
      </c>
      <c r="N92">
        <v>19.100000000000001</v>
      </c>
      <c r="O92">
        <v>16.850000000000001</v>
      </c>
      <c r="P92">
        <v>10.02</v>
      </c>
      <c r="Q92">
        <v>24.88</v>
      </c>
      <c r="R92">
        <v>32.22</v>
      </c>
      <c r="S92">
        <v>20.62</v>
      </c>
      <c r="T92">
        <v>2085</v>
      </c>
      <c r="U92">
        <v>1904</v>
      </c>
      <c r="V92">
        <v>1127</v>
      </c>
      <c r="W92">
        <v>672</v>
      </c>
      <c r="X92">
        <v>7582</v>
      </c>
      <c r="Y92">
        <v>938</v>
      </c>
      <c r="Z92">
        <v>5328</v>
      </c>
      <c r="AA92">
        <v>2808</v>
      </c>
      <c r="AB92">
        <v>13.093</v>
      </c>
      <c r="AC92">
        <v>16656</v>
      </c>
      <c r="AD92">
        <v>0.54</v>
      </c>
      <c r="AE92" s="1">
        <v>0.47708317392302302</v>
      </c>
      <c r="AF92">
        <v>5.6180560555705202E-2</v>
      </c>
      <c r="AG92">
        <v>1.4223811433277</v>
      </c>
      <c r="AH92">
        <v>32.2157563877497</v>
      </c>
      <c r="AI92">
        <v>6.72</v>
      </c>
      <c r="AJ92">
        <v>19.100000000000001</v>
      </c>
    </row>
    <row r="93" spans="1:36" x14ac:dyDescent="0.25">
      <c r="A93">
        <v>11076</v>
      </c>
      <c r="B93">
        <v>1027</v>
      </c>
      <c r="C93">
        <v>2366</v>
      </c>
      <c r="D93">
        <v>9</v>
      </c>
      <c r="E93">
        <v>202</v>
      </c>
      <c r="F93">
        <v>11657</v>
      </c>
      <c r="G93">
        <v>11.87</v>
      </c>
      <c r="H93">
        <v>4.5599999999999996</v>
      </c>
      <c r="I93">
        <v>7.35</v>
      </c>
      <c r="J93">
        <v>0.02</v>
      </c>
      <c r="K93">
        <v>0.42</v>
      </c>
      <c r="L93">
        <v>24.15</v>
      </c>
      <c r="M93">
        <v>3.19</v>
      </c>
      <c r="N93">
        <v>23.53</v>
      </c>
      <c r="O93">
        <v>23.18</v>
      </c>
      <c r="P93">
        <v>6.02</v>
      </c>
      <c r="Q93">
        <v>24.84</v>
      </c>
      <c r="R93">
        <v>32.19</v>
      </c>
      <c r="S93">
        <v>9.58</v>
      </c>
      <c r="T93">
        <v>2080</v>
      </c>
      <c r="U93">
        <v>1904</v>
      </c>
      <c r="V93">
        <v>1127</v>
      </c>
      <c r="W93">
        <v>1294</v>
      </c>
      <c r="X93">
        <v>7249</v>
      </c>
      <c r="Y93">
        <v>736</v>
      </c>
      <c r="Z93">
        <v>5477</v>
      </c>
      <c r="AA93">
        <v>1958</v>
      </c>
      <c r="AB93">
        <v>14.393000000000001</v>
      </c>
      <c r="AC93">
        <v>15420</v>
      </c>
      <c r="AD93">
        <v>0.56999999999999995</v>
      </c>
      <c r="AE93" s="1">
        <v>0.44073762338357902</v>
      </c>
      <c r="AF93">
        <v>2.37494635888395E-2</v>
      </c>
      <c r="AG93">
        <v>0.46530299328132302</v>
      </c>
      <c r="AH93">
        <v>32.193800738550799</v>
      </c>
      <c r="AI93">
        <v>3.19</v>
      </c>
      <c r="AJ93">
        <v>23.53</v>
      </c>
    </row>
    <row r="94" spans="1:36" x14ac:dyDescent="0.25">
      <c r="A94">
        <v>5823</v>
      </c>
      <c r="B94">
        <v>3147</v>
      </c>
      <c r="C94">
        <v>1634</v>
      </c>
      <c r="D94">
        <v>3</v>
      </c>
      <c r="E94">
        <v>14</v>
      </c>
      <c r="F94">
        <v>12186</v>
      </c>
      <c r="G94">
        <v>6.24</v>
      </c>
      <c r="H94">
        <v>13.97</v>
      </c>
      <c r="I94">
        <v>5.08</v>
      </c>
      <c r="J94">
        <v>0.01</v>
      </c>
      <c r="K94">
        <v>0.03</v>
      </c>
      <c r="L94">
        <v>25.24</v>
      </c>
      <c r="M94">
        <v>9.7799999999999994</v>
      </c>
      <c r="N94">
        <v>16.25</v>
      </c>
      <c r="O94">
        <v>14.75</v>
      </c>
      <c r="P94">
        <v>3.66</v>
      </c>
      <c r="Q94">
        <v>24.83</v>
      </c>
      <c r="R94">
        <v>33.65</v>
      </c>
      <c r="S94">
        <v>27.97</v>
      </c>
      <c r="T94">
        <v>2078</v>
      </c>
      <c r="U94">
        <v>1904</v>
      </c>
      <c r="V94">
        <v>1178</v>
      </c>
      <c r="W94">
        <v>877</v>
      </c>
      <c r="X94">
        <v>8463</v>
      </c>
      <c r="Y94">
        <v>867</v>
      </c>
      <c r="Z94">
        <v>5234</v>
      </c>
      <c r="AA94">
        <v>1785</v>
      </c>
      <c r="AB94">
        <v>16.052</v>
      </c>
      <c r="AC94">
        <v>16349</v>
      </c>
      <c r="AD94">
        <v>0.37</v>
      </c>
      <c r="AE94" s="1">
        <v>0.51687198714515203</v>
      </c>
      <c r="AF94">
        <v>7.1652953467458902E-3</v>
      </c>
      <c r="AG94">
        <v>3.1924396201681603E-2</v>
      </c>
      <c r="AH94">
        <v>33.653780178642798</v>
      </c>
      <c r="AI94">
        <v>9.7799999999999994</v>
      </c>
      <c r="AJ94">
        <v>16.25</v>
      </c>
    </row>
    <row r="95" spans="1:36" x14ac:dyDescent="0.25">
      <c r="A95">
        <v>6081</v>
      </c>
      <c r="B95">
        <v>419</v>
      </c>
      <c r="C95">
        <v>2471</v>
      </c>
      <c r="D95">
        <v>1</v>
      </c>
      <c r="E95">
        <v>277</v>
      </c>
      <c r="F95">
        <v>12000</v>
      </c>
      <c r="G95">
        <v>6.51</v>
      </c>
      <c r="H95">
        <v>1.86</v>
      </c>
      <c r="I95">
        <v>7.68</v>
      </c>
      <c r="J95">
        <v>0</v>
      </c>
      <c r="K95">
        <v>0.56999999999999995</v>
      </c>
      <c r="L95">
        <v>24.86</v>
      </c>
      <c r="M95">
        <v>1.3</v>
      </c>
      <c r="N95">
        <v>24.57</v>
      </c>
      <c r="O95">
        <v>27.74</v>
      </c>
      <c r="P95">
        <v>2.2200000000000002</v>
      </c>
      <c r="Q95">
        <v>24.82</v>
      </c>
      <c r="R95">
        <v>33.14</v>
      </c>
      <c r="S95">
        <v>4.3499999999999996</v>
      </c>
      <c r="T95">
        <v>2077</v>
      </c>
      <c r="U95">
        <v>1904</v>
      </c>
      <c r="V95">
        <v>1160</v>
      </c>
      <c r="W95">
        <v>1784</v>
      </c>
      <c r="X95">
        <v>7320</v>
      </c>
      <c r="Y95">
        <v>573</v>
      </c>
      <c r="Z95">
        <v>5509</v>
      </c>
      <c r="AA95">
        <v>1031</v>
      </c>
      <c r="AB95">
        <v>16.210999999999999</v>
      </c>
      <c r="AC95">
        <v>14433</v>
      </c>
      <c r="AD95">
        <v>0.57999999999999996</v>
      </c>
      <c r="AE95" s="1">
        <v>0.43545795393679698</v>
      </c>
      <c r="AF95">
        <v>1.8621659563099399E-3</v>
      </c>
      <c r="AG95">
        <v>0.63817991055294399</v>
      </c>
      <c r="AH95">
        <v>33.141610704577303</v>
      </c>
      <c r="AI95">
        <v>1.3</v>
      </c>
      <c r="AJ95">
        <v>24.57</v>
      </c>
    </row>
    <row r="96" spans="1:36" x14ac:dyDescent="0.25">
      <c r="A96">
        <v>14998</v>
      </c>
      <c r="B96">
        <v>2128</v>
      </c>
      <c r="C96">
        <v>1923</v>
      </c>
      <c r="D96">
        <v>1</v>
      </c>
      <c r="E96">
        <v>118</v>
      </c>
      <c r="F96">
        <v>12226</v>
      </c>
      <c r="G96">
        <v>16.07</v>
      </c>
      <c r="H96">
        <v>9.4499999999999993</v>
      </c>
      <c r="I96">
        <v>5.97</v>
      </c>
      <c r="J96">
        <v>0</v>
      </c>
      <c r="K96">
        <v>0.24</v>
      </c>
      <c r="L96">
        <v>25.32</v>
      </c>
      <c r="M96">
        <v>6.61</v>
      </c>
      <c r="N96">
        <v>19.12</v>
      </c>
      <c r="O96">
        <v>16.93</v>
      </c>
      <c r="P96">
        <v>10.25</v>
      </c>
      <c r="Q96">
        <v>24.82</v>
      </c>
      <c r="R96">
        <v>33.76</v>
      </c>
      <c r="S96">
        <v>19.170000000000002</v>
      </c>
      <c r="T96">
        <v>2077</v>
      </c>
      <c r="U96">
        <v>1904</v>
      </c>
      <c r="V96">
        <v>1182</v>
      </c>
      <c r="W96">
        <v>665</v>
      </c>
      <c r="X96">
        <v>7496</v>
      </c>
      <c r="Y96">
        <v>940</v>
      </c>
      <c r="Z96">
        <v>5329</v>
      </c>
      <c r="AA96">
        <v>2869</v>
      </c>
      <c r="AB96">
        <v>12.731999999999999</v>
      </c>
      <c r="AC96">
        <v>16634</v>
      </c>
      <c r="AD96">
        <v>0.54</v>
      </c>
      <c r="AE96" s="1">
        <v>0.46614125028693798</v>
      </c>
      <c r="AF96">
        <v>2.1177234122219E-3</v>
      </c>
      <c r="AG96">
        <v>0.27221757337163899</v>
      </c>
      <c r="AH96">
        <v>33.764978828261398</v>
      </c>
      <c r="AI96">
        <v>6.61</v>
      </c>
      <c r="AJ96">
        <v>19.12</v>
      </c>
    </row>
    <row r="97" spans="1:36" x14ac:dyDescent="0.25">
      <c r="A97">
        <v>6872</v>
      </c>
      <c r="B97">
        <v>2834</v>
      </c>
      <c r="C97">
        <v>1889</v>
      </c>
      <c r="D97">
        <v>16</v>
      </c>
      <c r="E97">
        <v>78</v>
      </c>
      <c r="F97">
        <v>11352</v>
      </c>
      <c r="G97">
        <v>7.36</v>
      </c>
      <c r="H97">
        <v>12.58</v>
      </c>
      <c r="I97">
        <v>5.87</v>
      </c>
      <c r="J97">
        <v>0.03</v>
      </c>
      <c r="K97">
        <v>0.16</v>
      </c>
      <c r="L97">
        <v>23.51</v>
      </c>
      <c r="M97">
        <v>8.81</v>
      </c>
      <c r="N97">
        <v>18.79</v>
      </c>
      <c r="O97">
        <v>16.13</v>
      </c>
      <c r="P97">
        <v>3.98</v>
      </c>
      <c r="Q97">
        <v>24.86</v>
      </c>
      <c r="R97">
        <v>31.35</v>
      </c>
      <c r="S97">
        <v>25.34</v>
      </c>
      <c r="T97">
        <v>2083</v>
      </c>
      <c r="U97">
        <v>1904</v>
      </c>
      <c r="V97">
        <v>1097</v>
      </c>
      <c r="W97">
        <v>951</v>
      </c>
      <c r="X97">
        <v>8235</v>
      </c>
      <c r="Y97">
        <v>845</v>
      </c>
      <c r="Z97">
        <v>5318</v>
      </c>
      <c r="AA97">
        <v>1847</v>
      </c>
      <c r="AB97">
        <v>15.888999999999999</v>
      </c>
      <c r="AC97">
        <v>16245</v>
      </c>
      <c r="AD97">
        <v>0.4</v>
      </c>
      <c r="AE97" s="1">
        <v>0.507536919427653</v>
      </c>
      <c r="AF97">
        <v>4.2422791801232103E-2</v>
      </c>
      <c r="AG97">
        <v>0.17937908359410201</v>
      </c>
      <c r="AH97">
        <v>31.350688716077901</v>
      </c>
      <c r="AI97">
        <v>8.81</v>
      </c>
      <c r="AJ97">
        <v>18.79</v>
      </c>
    </row>
    <row r="98" spans="1:36" x14ac:dyDescent="0.25">
      <c r="A98">
        <v>14997</v>
      </c>
      <c r="B98">
        <v>7930</v>
      </c>
      <c r="C98">
        <v>119</v>
      </c>
      <c r="D98">
        <v>5</v>
      </c>
      <c r="E98">
        <v>46</v>
      </c>
      <c r="F98">
        <v>12250</v>
      </c>
      <c r="G98">
        <v>16.07</v>
      </c>
      <c r="H98">
        <v>35.200000000000003</v>
      </c>
      <c r="I98">
        <v>0.37</v>
      </c>
      <c r="J98">
        <v>0.01</v>
      </c>
      <c r="K98">
        <v>0.1</v>
      </c>
      <c r="L98">
        <v>25.37</v>
      </c>
      <c r="M98">
        <v>24.64</v>
      </c>
      <c r="N98">
        <v>1.18</v>
      </c>
      <c r="O98">
        <v>4.8499999999999996</v>
      </c>
      <c r="P98">
        <v>29.52</v>
      </c>
      <c r="Q98">
        <v>24.83</v>
      </c>
      <c r="R98">
        <v>33.83</v>
      </c>
      <c r="S98">
        <v>70.5</v>
      </c>
      <c r="T98">
        <v>2078</v>
      </c>
      <c r="U98">
        <v>1904</v>
      </c>
      <c r="V98">
        <v>1184</v>
      </c>
      <c r="W98">
        <v>-1301</v>
      </c>
      <c r="X98">
        <v>9950</v>
      </c>
      <c r="Y98">
        <v>1577</v>
      </c>
      <c r="Z98">
        <v>4734</v>
      </c>
      <c r="AA98">
        <v>4529</v>
      </c>
      <c r="AB98">
        <v>12.393000000000001</v>
      </c>
      <c r="AC98">
        <v>20790</v>
      </c>
      <c r="AD98">
        <v>0.77</v>
      </c>
      <c r="AE98" s="1">
        <v>0.76654679011400995</v>
      </c>
      <c r="AF98">
        <v>1.28260252515247E-2</v>
      </c>
      <c r="AG98">
        <v>0.10686048408301201</v>
      </c>
      <c r="AH98">
        <v>33.830676879970298</v>
      </c>
      <c r="AI98">
        <v>24.64</v>
      </c>
      <c r="AJ98">
        <v>1.18</v>
      </c>
    </row>
    <row r="99" spans="1:36" x14ac:dyDescent="0.25">
      <c r="A99">
        <v>9168</v>
      </c>
      <c r="B99">
        <v>2164</v>
      </c>
      <c r="C99">
        <v>1925</v>
      </c>
      <c r="D99">
        <v>12</v>
      </c>
      <c r="E99">
        <v>66</v>
      </c>
      <c r="F99">
        <v>12202</v>
      </c>
      <c r="G99">
        <v>9.82</v>
      </c>
      <c r="H99">
        <v>9.61</v>
      </c>
      <c r="I99">
        <v>5.98</v>
      </c>
      <c r="J99">
        <v>0.03</v>
      </c>
      <c r="K99">
        <v>0.14000000000000001</v>
      </c>
      <c r="L99">
        <v>25.27</v>
      </c>
      <c r="M99">
        <v>6.72</v>
      </c>
      <c r="N99">
        <v>19.14</v>
      </c>
      <c r="O99">
        <v>18.02</v>
      </c>
      <c r="P99">
        <v>5.25</v>
      </c>
      <c r="Q99">
        <v>24.85</v>
      </c>
      <c r="R99">
        <v>33.700000000000003</v>
      </c>
      <c r="S99">
        <v>19.37</v>
      </c>
      <c r="T99">
        <v>2081</v>
      </c>
      <c r="U99">
        <v>1904</v>
      </c>
      <c r="V99">
        <v>1179</v>
      </c>
      <c r="W99">
        <v>1006</v>
      </c>
      <c r="X99">
        <v>7857</v>
      </c>
      <c r="Y99">
        <v>827</v>
      </c>
      <c r="Z99">
        <v>5329</v>
      </c>
      <c r="AA99">
        <v>2004</v>
      </c>
      <c r="AB99">
        <v>14.882999999999999</v>
      </c>
      <c r="AC99">
        <v>16017</v>
      </c>
      <c r="AD99">
        <v>0.46</v>
      </c>
      <c r="AE99" s="1">
        <v>0.47624148748947798</v>
      </c>
      <c r="AF99">
        <v>3.2241637041397E-2</v>
      </c>
      <c r="AG99">
        <v>0.15154475376402701</v>
      </c>
      <c r="AH99">
        <v>33.698832770853997</v>
      </c>
      <c r="AI99">
        <v>6.72</v>
      </c>
      <c r="AJ99">
        <v>19.14</v>
      </c>
    </row>
    <row r="100" spans="1:36" x14ac:dyDescent="0.25">
      <c r="A100">
        <v>14936</v>
      </c>
      <c r="B100">
        <v>862</v>
      </c>
      <c r="C100">
        <v>2292</v>
      </c>
      <c r="D100">
        <v>0</v>
      </c>
      <c r="E100">
        <v>752</v>
      </c>
      <c r="F100">
        <v>11718</v>
      </c>
      <c r="G100">
        <v>16</v>
      </c>
      <c r="H100">
        <v>3.83</v>
      </c>
      <c r="I100">
        <v>7.12</v>
      </c>
      <c r="J100">
        <v>0</v>
      </c>
      <c r="K100">
        <v>1.56</v>
      </c>
      <c r="L100">
        <v>24.27</v>
      </c>
      <c r="M100">
        <v>2.68</v>
      </c>
      <c r="N100">
        <v>22.79</v>
      </c>
      <c r="O100">
        <v>22.77</v>
      </c>
      <c r="P100">
        <v>9.26</v>
      </c>
      <c r="Q100">
        <v>24.82</v>
      </c>
      <c r="R100">
        <v>32.36</v>
      </c>
      <c r="S100">
        <v>9.3800000000000008</v>
      </c>
      <c r="T100">
        <v>2077</v>
      </c>
      <c r="U100">
        <v>1904</v>
      </c>
      <c r="V100">
        <v>1132</v>
      </c>
      <c r="W100">
        <v>1092</v>
      </c>
      <c r="X100">
        <v>7034</v>
      </c>
      <c r="Y100">
        <v>801</v>
      </c>
      <c r="Z100">
        <v>5451</v>
      </c>
      <c r="AA100">
        <v>2466</v>
      </c>
      <c r="AB100">
        <v>13.093</v>
      </c>
      <c r="AC100">
        <v>15752</v>
      </c>
      <c r="AD100">
        <v>0.62</v>
      </c>
      <c r="AE100" s="1">
        <v>0.43591705562782102</v>
      </c>
      <c r="AF100">
        <v>1.2627320583129299E-3</v>
      </c>
      <c r="AG100">
        <v>1.7309170398358</v>
      </c>
      <c r="AH100">
        <v>32.3626798092792</v>
      </c>
      <c r="AI100">
        <v>2.68</v>
      </c>
      <c r="AJ100">
        <v>22.79</v>
      </c>
    </row>
    <row r="101" spans="1:36" x14ac:dyDescent="0.25">
      <c r="A101">
        <v>6440</v>
      </c>
      <c r="B101">
        <v>3344</v>
      </c>
      <c r="C101">
        <v>1509</v>
      </c>
      <c r="D101">
        <v>9</v>
      </c>
      <c r="E101">
        <v>490</v>
      </c>
      <c r="F101">
        <v>12010</v>
      </c>
      <c r="G101">
        <v>6.9</v>
      </c>
      <c r="H101">
        <v>14.84</v>
      </c>
      <c r="I101">
        <v>4.6900000000000004</v>
      </c>
      <c r="J101">
        <v>0.02</v>
      </c>
      <c r="K101">
        <v>1.01</v>
      </c>
      <c r="L101">
        <v>24.88</v>
      </c>
      <c r="M101">
        <v>10.39</v>
      </c>
      <c r="N101">
        <v>15</v>
      </c>
      <c r="O101">
        <v>13.6</v>
      </c>
      <c r="P101">
        <v>4.43</v>
      </c>
      <c r="Q101">
        <v>24.84</v>
      </c>
      <c r="R101">
        <v>33.17</v>
      </c>
      <c r="S101">
        <v>30.81</v>
      </c>
      <c r="T101">
        <v>2080</v>
      </c>
      <c r="U101">
        <v>1904</v>
      </c>
      <c r="V101">
        <v>1161</v>
      </c>
      <c r="W101">
        <v>761</v>
      </c>
      <c r="X101">
        <v>8577</v>
      </c>
      <c r="Y101">
        <v>904</v>
      </c>
      <c r="Z101">
        <v>5192</v>
      </c>
      <c r="AA101">
        <v>1910</v>
      </c>
      <c r="AB101">
        <v>15.972</v>
      </c>
      <c r="AC101">
        <v>16583</v>
      </c>
      <c r="AD101">
        <v>0.37</v>
      </c>
      <c r="AE101" s="1">
        <v>0.529879868390848</v>
      </c>
      <c r="AF101">
        <v>2.38992732352565E-2</v>
      </c>
      <c r="AG101">
        <v>1.12675651428476</v>
      </c>
      <c r="AH101">
        <v>33.169576295340299</v>
      </c>
      <c r="AI101">
        <v>10.39</v>
      </c>
      <c r="AJ101">
        <v>15</v>
      </c>
    </row>
    <row r="102" spans="1:36" x14ac:dyDescent="0.25">
      <c r="A102">
        <v>6997</v>
      </c>
      <c r="B102">
        <v>4390</v>
      </c>
      <c r="C102">
        <v>1254</v>
      </c>
      <c r="D102">
        <v>0</v>
      </c>
      <c r="E102">
        <v>313</v>
      </c>
      <c r="F102">
        <v>11849</v>
      </c>
      <c r="G102">
        <v>7.5</v>
      </c>
      <c r="H102">
        <v>19.489999999999998</v>
      </c>
      <c r="I102">
        <v>3.9</v>
      </c>
      <c r="J102">
        <v>0</v>
      </c>
      <c r="K102">
        <v>0.65</v>
      </c>
      <c r="L102">
        <v>24.54</v>
      </c>
      <c r="M102">
        <v>13.64</v>
      </c>
      <c r="N102">
        <v>12.47</v>
      </c>
      <c r="O102">
        <v>10.27</v>
      </c>
      <c r="P102">
        <v>7.14</v>
      </c>
      <c r="Q102">
        <v>24.82</v>
      </c>
      <c r="R102">
        <v>32.72</v>
      </c>
      <c r="S102">
        <v>39.69</v>
      </c>
      <c r="T102">
        <v>2077</v>
      </c>
      <c r="U102">
        <v>1904</v>
      </c>
      <c r="V102">
        <v>1145</v>
      </c>
      <c r="W102">
        <v>387</v>
      </c>
      <c r="X102">
        <v>8947</v>
      </c>
      <c r="Y102">
        <v>1027</v>
      </c>
      <c r="Z102">
        <v>5108</v>
      </c>
      <c r="AA102">
        <v>2301</v>
      </c>
      <c r="AB102">
        <v>15.698</v>
      </c>
      <c r="AC102">
        <v>17383</v>
      </c>
      <c r="AD102">
        <v>0.36</v>
      </c>
      <c r="AE102" s="1">
        <v>0.57219374091361197</v>
      </c>
      <c r="AF102">
        <v>1.19868713049479E-3</v>
      </c>
      <c r="AG102">
        <v>0.72079368988670101</v>
      </c>
      <c r="AH102">
        <v>32.723974184981401</v>
      </c>
      <c r="AI102">
        <v>13.64</v>
      </c>
      <c r="AJ102">
        <v>12.47</v>
      </c>
    </row>
    <row r="103" spans="1:36" x14ac:dyDescent="0.25">
      <c r="A103">
        <v>5959</v>
      </c>
      <c r="B103">
        <v>4963</v>
      </c>
      <c r="C103">
        <v>2773</v>
      </c>
      <c r="D103">
        <v>17</v>
      </c>
      <c r="E103">
        <v>43</v>
      </c>
      <c r="F103">
        <v>3954</v>
      </c>
      <c r="G103">
        <v>6.38</v>
      </c>
      <c r="H103">
        <v>22.03</v>
      </c>
      <c r="I103">
        <v>8.61</v>
      </c>
      <c r="J103">
        <v>0.04</v>
      </c>
      <c r="K103">
        <v>0.09</v>
      </c>
      <c r="L103">
        <v>8.19</v>
      </c>
      <c r="M103">
        <v>15.42</v>
      </c>
      <c r="N103">
        <v>27.57</v>
      </c>
      <c r="O103">
        <v>11.72</v>
      </c>
      <c r="P103">
        <v>5.29</v>
      </c>
      <c r="Q103">
        <v>24.86</v>
      </c>
      <c r="R103">
        <v>10.92</v>
      </c>
      <c r="S103">
        <v>44.15</v>
      </c>
      <c r="T103">
        <v>2083</v>
      </c>
      <c r="U103">
        <v>1904</v>
      </c>
      <c r="V103">
        <v>382</v>
      </c>
      <c r="W103">
        <v>586</v>
      </c>
      <c r="X103">
        <v>8773</v>
      </c>
      <c r="Y103">
        <v>980</v>
      </c>
      <c r="Z103">
        <v>5610</v>
      </c>
      <c r="AA103">
        <v>2503</v>
      </c>
      <c r="AB103">
        <v>17.754999999999999</v>
      </c>
      <c r="AC103">
        <v>17866</v>
      </c>
      <c r="AD103">
        <v>0.32</v>
      </c>
      <c r="AE103" s="1">
        <v>0.61772132527354795</v>
      </c>
      <c r="AF103">
        <v>4.4473084843267598E-2</v>
      </c>
      <c r="AG103">
        <v>9.7939128461689798E-2</v>
      </c>
      <c r="AH103">
        <v>10.919327543205201</v>
      </c>
      <c r="AI103">
        <v>15.42</v>
      </c>
      <c r="AJ103">
        <v>27.57</v>
      </c>
    </row>
    <row r="104" spans="1:36" x14ac:dyDescent="0.25">
      <c r="A104">
        <v>6446</v>
      </c>
      <c r="B104">
        <v>2410</v>
      </c>
      <c r="C104">
        <v>1800</v>
      </c>
      <c r="D104">
        <v>9</v>
      </c>
      <c r="E104">
        <v>489</v>
      </c>
      <c r="F104">
        <v>12010</v>
      </c>
      <c r="G104">
        <v>6.91</v>
      </c>
      <c r="H104">
        <v>10.7</v>
      </c>
      <c r="I104">
        <v>5.59</v>
      </c>
      <c r="J104">
        <v>0.02</v>
      </c>
      <c r="K104">
        <v>1.01</v>
      </c>
      <c r="L104">
        <v>24.88</v>
      </c>
      <c r="M104">
        <v>7.49</v>
      </c>
      <c r="N104">
        <v>17.899999999999999</v>
      </c>
      <c r="O104">
        <v>17.63</v>
      </c>
      <c r="P104">
        <v>3.41</v>
      </c>
      <c r="Q104">
        <v>24.84</v>
      </c>
      <c r="R104">
        <v>33.17</v>
      </c>
      <c r="S104">
        <v>22.52</v>
      </c>
      <c r="T104">
        <v>2080</v>
      </c>
      <c r="U104">
        <v>1904</v>
      </c>
      <c r="V104">
        <v>1161</v>
      </c>
      <c r="W104">
        <v>1077</v>
      </c>
      <c r="X104">
        <v>8180</v>
      </c>
      <c r="Y104">
        <v>802</v>
      </c>
      <c r="Z104">
        <v>5290</v>
      </c>
      <c r="AA104">
        <v>1644</v>
      </c>
      <c r="AB104">
        <v>16.021000000000001</v>
      </c>
      <c r="AC104">
        <v>15916</v>
      </c>
      <c r="AD104">
        <v>0.42</v>
      </c>
      <c r="AE104" s="1">
        <v>0.49728364832810401</v>
      </c>
      <c r="AF104">
        <v>2.4529288301030499E-2</v>
      </c>
      <c r="AG104">
        <v>1.12610906807927</v>
      </c>
      <c r="AH104">
        <v>33.169681214716697</v>
      </c>
      <c r="AI104">
        <v>7.49</v>
      </c>
      <c r="AJ104">
        <v>17.899999999999999</v>
      </c>
    </row>
    <row r="105" spans="1:36" x14ac:dyDescent="0.25">
      <c r="A105">
        <v>6777</v>
      </c>
      <c r="B105">
        <v>3038</v>
      </c>
      <c r="C105">
        <v>1649</v>
      </c>
      <c r="D105">
        <v>1</v>
      </c>
      <c r="E105">
        <v>59</v>
      </c>
      <c r="F105">
        <v>12236</v>
      </c>
      <c r="G105">
        <v>7.26</v>
      </c>
      <c r="H105">
        <v>13.49</v>
      </c>
      <c r="I105">
        <v>5.12</v>
      </c>
      <c r="J105">
        <v>0</v>
      </c>
      <c r="K105">
        <v>0.12</v>
      </c>
      <c r="L105">
        <v>25.35</v>
      </c>
      <c r="M105">
        <v>9.44</v>
      </c>
      <c r="N105">
        <v>16.39</v>
      </c>
      <c r="O105">
        <v>14.83</v>
      </c>
      <c r="P105">
        <v>4.2300000000000004</v>
      </c>
      <c r="Q105">
        <v>24.82</v>
      </c>
      <c r="R105">
        <v>33.79</v>
      </c>
      <c r="S105">
        <v>27.11</v>
      </c>
      <c r="T105">
        <v>2077</v>
      </c>
      <c r="U105">
        <v>1904</v>
      </c>
      <c r="V105">
        <v>1183</v>
      </c>
      <c r="W105">
        <v>853</v>
      </c>
      <c r="X105">
        <v>8369</v>
      </c>
      <c r="Y105">
        <v>875</v>
      </c>
      <c r="Z105">
        <v>5239</v>
      </c>
      <c r="AA105">
        <v>1896</v>
      </c>
      <c r="AB105">
        <v>15.704000000000001</v>
      </c>
      <c r="AC105">
        <v>16379</v>
      </c>
      <c r="AD105">
        <v>0.39</v>
      </c>
      <c r="AE105" s="1">
        <v>0.51082714821332897</v>
      </c>
      <c r="AF105">
        <v>3.3824682126201602E-3</v>
      </c>
      <c r="AG105">
        <v>0.13499570058308799</v>
      </c>
      <c r="AH105">
        <v>33.793532223801797</v>
      </c>
      <c r="AI105">
        <v>9.44</v>
      </c>
      <c r="AJ105">
        <v>16.39</v>
      </c>
    </row>
    <row r="106" spans="1:36" x14ac:dyDescent="0.25">
      <c r="A106">
        <v>13292</v>
      </c>
      <c r="B106">
        <v>973</v>
      </c>
      <c r="C106">
        <v>2292</v>
      </c>
      <c r="D106">
        <v>10</v>
      </c>
      <c r="E106">
        <v>263</v>
      </c>
      <c r="F106">
        <v>12030</v>
      </c>
      <c r="G106">
        <v>14.24</v>
      </c>
      <c r="H106">
        <v>4.32</v>
      </c>
      <c r="I106">
        <v>7.12</v>
      </c>
      <c r="J106">
        <v>0.02</v>
      </c>
      <c r="K106">
        <v>0.55000000000000004</v>
      </c>
      <c r="L106">
        <v>24.92</v>
      </c>
      <c r="M106">
        <v>3.02</v>
      </c>
      <c r="N106">
        <v>22.79</v>
      </c>
      <c r="O106">
        <v>22.66</v>
      </c>
      <c r="P106">
        <v>7.88</v>
      </c>
      <c r="Q106">
        <v>24.85</v>
      </c>
      <c r="R106">
        <v>33.22</v>
      </c>
      <c r="S106">
        <v>9.25</v>
      </c>
      <c r="T106">
        <v>2080</v>
      </c>
      <c r="U106">
        <v>1904</v>
      </c>
      <c r="V106">
        <v>1163</v>
      </c>
      <c r="W106">
        <v>1161</v>
      </c>
      <c r="X106">
        <v>7123</v>
      </c>
      <c r="Y106">
        <v>779</v>
      </c>
      <c r="Z106">
        <v>5451</v>
      </c>
      <c r="AA106">
        <v>2274</v>
      </c>
      <c r="AB106">
        <v>13.509</v>
      </c>
      <c r="AC106">
        <v>15627</v>
      </c>
      <c r="AD106">
        <v>0.6</v>
      </c>
      <c r="AE106" s="1">
        <v>0.43431019970923501</v>
      </c>
      <c r="AF106">
        <v>2.50532627632617E-2</v>
      </c>
      <c r="AG106">
        <v>0.60625656056991795</v>
      </c>
      <c r="AH106">
        <v>33.224975151822299</v>
      </c>
      <c r="AI106">
        <v>3.02</v>
      </c>
      <c r="AJ106">
        <v>22.79</v>
      </c>
    </row>
    <row r="107" spans="1:36" x14ac:dyDescent="0.25">
      <c r="A107">
        <v>5704</v>
      </c>
      <c r="B107">
        <v>430</v>
      </c>
      <c r="C107">
        <v>2590</v>
      </c>
      <c r="D107">
        <v>4</v>
      </c>
      <c r="E107">
        <v>91</v>
      </c>
      <c r="F107">
        <v>11596</v>
      </c>
      <c r="G107">
        <v>6.11</v>
      </c>
      <c r="H107">
        <v>1.91</v>
      </c>
      <c r="I107">
        <v>8.0500000000000007</v>
      </c>
      <c r="J107">
        <v>0.01</v>
      </c>
      <c r="K107">
        <v>0.19</v>
      </c>
      <c r="L107">
        <v>24.02</v>
      </c>
      <c r="M107">
        <v>1.34</v>
      </c>
      <c r="N107">
        <v>25.75</v>
      </c>
      <c r="O107">
        <v>28.23</v>
      </c>
      <c r="P107">
        <v>1.99</v>
      </c>
      <c r="Q107">
        <v>24.83</v>
      </c>
      <c r="R107">
        <v>32.020000000000003</v>
      </c>
      <c r="S107">
        <v>4.03</v>
      </c>
      <c r="T107">
        <v>2078</v>
      </c>
      <c r="U107">
        <v>1904</v>
      </c>
      <c r="V107">
        <v>1121</v>
      </c>
      <c r="W107">
        <v>1827</v>
      </c>
      <c r="X107">
        <v>7297</v>
      </c>
      <c r="Y107">
        <v>561</v>
      </c>
      <c r="Z107">
        <v>5548</v>
      </c>
      <c r="AA107">
        <v>985</v>
      </c>
      <c r="AB107">
        <v>16.396000000000001</v>
      </c>
      <c r="AC107">
        <v>14391</v>
      </c>
      <c r="AD107">
        <v>0.57999999999999996</v>
      </c>
      <c r="AE107" s="1">
        <v>0.43683525900987002</v>
      </c>
      <c r="AF107">
        <v>1.10111437879749E-2</v>
      </c>
      <c r="AG107">
        <v>0.209670725576422</v>
      </c>
      <c r="AH107">
        <v>32.024291923695799</v>
      </c>
      <c r="AI107">
        <v>1.34</v>
      </c>
      <c r="AJ107">
        <v>25.75</v>
      </c>
    </row>
    <row r="108" spans="1:36" x14ac:dyDescent="0.25">
      <c r="A108">
        <v>7214</v>
      </c>
      <c r="B108">
        <v>2358</v>
      </c>
      <c r="C108">
        <v>1921</v>
      </c>
      <c r="D108">
        <v>2</v>
      </c>
      <c r="E108">
        <v>353</v>
      </c>
      <c r="F108">
        <v>11652</v>
      </c>
      <c r="G108">
        <v>7.73</v>
      </c>
      <c r="H108">
        <v>10.47</v>
      </c>
      <c r="I108">
        <v>5.97</v>
      </c>
      <c r="J108">
        <v>0</v>
      </c>
      <c r="K108">
        <v>0.73</v>
      </c>
      <c r="L108">
        <v>24.14</v>
      </c>
      <c r="M108">
        <v>7.33</v>
      </c>
      <c r="N108">
        <v>19.100000000000001</v>
      </c>
      <c r="O108">
        <v>17.86</v>
      </c>
      <c r="P108">
        <v>3.87</v>
      </c>
      <c r="Q108">
        <v>24.82</v>
      </c>
      <c r="R108">
        <v>32.18</v>
      </c>
      <c r="S108">
        <v>21.75</v>
      </c>
      <c r="T108">
        <v>2077</v>
      </c>
      <c r="U108">
        <v>1904</v>
      </c>
      <c r="V108">
        <v>1126</v>
      </c>
      <c r="W108">
        <v>1069</v>
      </c>
      <c r="X108">
        <v>8068</v>
      </c>
      <c r="Y108">
        <v>806</v>
      </c>
      <c r="Z108">
        <v>5328</v>
      </c>
      <c r="AA108">
        <v>1751</v>
      </c>
      <c r="AB108">
        <v>15.782999999999999</v>
      </c>
      <c r="AC108">
        <v>15953</v>
      </c>
      <c r="AD108">
        <v>0.43</v>
      </c>
      <c r="AE108" s="1">
        <v>0.492998699211875</v>
      </c>
      <c r="AF108">
        <v>4.0702890791729299E-3</v>
      </c>
      <c r="AG108">
        <v>0.81232593754008298</v>
      </c>
      <c r="AH108">
        <v>32.180539996634501</v>
      </c>
      <c r="AI108">
        <v>7.33</v>
      </c>
      <c r="AJ108">
        <v>19.100000000000001</v>
      </c>
    </row>
    <row r="109" spans="1:36" x14ac:dyDescent="0.25">
      <c r="A109">
        <v>14246</v>
      </c>
      <c r="B109">
        <v>3083</v>
      </c>
      <c r="C109">
        <v>1694</v>
      </c>
      <c r="D109">
        <v>2</v>
      </c>
      <c r="E109">
        <v>20</v>
      </c>
      <c r="F109">
        <v>11990</v>
      </c>
      <c r="G109">
        <v>15.26</v>
      </c>
      <c r="H109">
        <v>13.68</v>
      </c>
      <c r="I109">
        <v>5.26</v>
      </c>
      <c r="J109">
        <v>0</v>
      </c>
      <c r="K109">
        <v>0.04</v>
      </c>
      <c r="L109">
        <v>24.84</v>
      </c>
      <c r="M109">
        <v>9.58</v>
      </c>
      <c r="N109">
        <v>16.84</v>
      </c>
      <c r="O109">
        <v>13.15</v>
      </c>
      <c r="P109">
        <v>10.61</v>
      </c>
      <c r="Q109">
        <v>24.82</v>
      </c>
      <c r="R109">
        <v>33.11</v>
      </c>
      <c r="S109">
        <v>27.41</v>
      </c>
      <c r="T109">
        <v>2077</v>
      </c>
      <c r="U109">
        <v>1904</v>
      </c>
      <c r="V109">
        <v>1159</v>
      </c>
      <c r="W109">
        <v>400</v>
      </c>
      <c r="X109">
        <v>7918</v>
      </c>
      <c r="Y109">
        <v>1026</v>
      </c>
      <c r="Z109">
        <v>5253</v>
      </c>
      <c r="AA109">
        <v>3032</v>
      </c>
      <c r="AB109">
        <v>12.986000000000001</v>
      </c>
      <c r="AC109">
        <v>17229</v>
      </c>
      <c r="AD109">
        <v>0.48</v>
      </c>
      <c r="AE109" s="1">
        <v>0.500267809319764</v>
      </c>
      <c r="AF109">
        <v>4.8975066707077604E-3</v>
      </c>
      <c r="AG109">
        <v>4.5607248255098903E-2</v>
      </c>
      <c r="AH109">
        <v>33.113587796869297</v>
      </c>
      <c r="AI109">
        <v>9.58</v>
      </c>
      <c r="AJ109">
        <v>16.84</v>
      </c>
    </row>
    <row r="110" spans="1:36" x14ac:dyDescent="0.25">
      <c r="A110">
        <v>11817</v>
      </c>
      <c r="B110">
        <v>441</v>
      </c>
      <c r="C110">
        <v>2498</v>
      </c>
      <c r="D110">
        <v>4</v>
      </c>
      <c r="E110">
        <v>202</v>
      </c>
      <c r="F110">
        <v>11908</v>
      </c>
      <c r="G110">
        <v>12.66</v>
      </c>
      <c r="H110">
        <v>1.96</v>
      </c>
      <c r="I110">
        <v>7.76</v>
      </c>
      <c r="J110">
        <v>0.01</v>
      </c>
      <c r="K110">
        <v>0.42</v>
      </c>
      <c r="L110">
        <v>24.66</v>
      </c>
      <c r="M110">
        <v>1.37</v>
      </c>
      <c r="N110">
        <v>24.84</v>
      </c>
      <c r="O110">
        <v>25.76</v>
      </c>
      <c r="P110">
        <v>6.39</v>
      </c>
      <c r="Q110">
        <v>24.83</v>
      </c>
      <c r="R110">
        <v>32.89</v>
      </c>
      <c r="S110">
        <v>4.38</v>
      </c>
      <c r="T110">
        <v>2078</v>
      </c>
      <c r="U110">
        <v>1904</v>
      </c>
      <c r="V110">
        <v>1151</v>
      </c>
      <c r="W110">
        <v>1438</v>
      </c>
      <c r="X110">
        <v>6968</v>
      </c>
      <c r="Y110">
        <v>689</v>
      </c>
      <c r="Z110">
        <v>5520</v>
      </c>
      <c r="AA110">
        <v>1903</v>
      </c>
      <c r="AB110">
        <v>14.093</v>
      </c>
      <c r="AC110">
        <v>15080</v>
      </c>
      <c r="AD110">
        <v>0.62</v>
      </c>
      <c r="AE110" s="1">
        <v>0.420613665927002</v>
      </c>
      <c r="AF110">
        <v>1.1109757221140401E-2</v>
      </c>
      <c r="AG110">
        <v>0.46375814784528802</v>
      </c>
      <c r="AH110">
        <v>32.885879327231599</v>
      </c>
      <c r="AI110">
        <v>1.37</v>
      </c>
      <c r="AJ110">
        <v>24.84</v>
      </c>
    </row>
    <row r="111" spans="1:36" x14ac:dyDescent="0.25">
      <c r="A111">
        <v>10384</v>
      </c>
      <c r="B111">
        <v>3910</v>
      </c>
      <c r="C111">
        <v>1500</v>
      </c>
      <c r="D111">
        <v>3</v>
      </c>
      <c r="E111">
        <v>73</v>
      </c>
      <c r="F111">
        <v>11624</v>
      </c>
      <c r="G111">
        <v>11.12</v>
      </c>
      <c r="H111">
        <v>17.36</v>
      </c>
      <c r="I111">
        <v>4.66</v>
      </c>
      <c r="J111">
        <v>0.01</v>
      </c>
      <c r="K111">
        <v>0.15</v>
      </c>
      <c r="L111">
        <v>24.08</v>
      </c>
      <c r="M111">
        <v>12.15</v>
      </c>
      <c r="N111">
        <v>14.92</v>
      </c>
      <c r="O111">
        <v>11.02</v>
      </c>
      <c r="P111">
        <v>8.6199999999999992</v>
      </c>
      <c r="Q111">
        <v>24.83</v>
      </c>
      <c r="R111">
        <v>32.1</v>
      </c>
      <c r="S111">
        <v>34.880000000000003</v>
      </c>
      <c r="T111">
        <v>2078</v>
      </c>
      <c r="U111">
        <v>1904</v>
      </c>
      <c r="V111">
        <v>1123</v>
      </c>
      <c r="W111">
        <v>364</v>
      </c>
      <c r="X111">
        <v>8490</v>
      </c>
      <c r="Y111">
        <v>1037</v>
      </c>
      <c r="Z111">
        <v>5189</v>
      </c>
      <c r="AA111">
        <v>2684</v>
      </c>
      <c r="AB111">
        <v>14.464</v>
      </c>
      <c r="AC111">
        <v>17400</v>
      </c>
      <c r="AD111">
        <v>0.4</v>
      </c>
      <c r="AE111" s="1">
        <v>0.54120437676945399</v>
      </c>
      <c r="AF111">
        <v>8.7157659160199494E-3</v>
      </c>
      <c r="AG111">
        <v>0.16691639963871799</v>
      </c>
      <c r="AH111">
        <v>32.102212904047803</v>
      </c>
      <c r="AI111">
        <v>12.15</v>
      </c>
      <c r="AJ111">
        <v>14.92</v>
      </c>
    </row>
    <row r="112" spans="1:36" x14ac:dyDescent="0.25">
      <c r="A112">
        <v>8653</v>
      </c>
      <c r="B112">
        <v>171</v>
      </c>
      <c r="C112">
        <v>2547</v>
      </c>
      <c r="D112">
        <v>10</v>
      </c>
      <c r="E112">
        <v>334</v>
      </c>
      <c r="F112">
        <v>11938</v>
      </c>
      <c r="G112">
        <v>9.27</v>
      </c>
      <c r="H112">
        <v>0.76</v>
      </c>
      <c r="I112">
        <v>7.91</v>
      </c>
      <c r="J112">
        <v>0.02</v>
      </c>
      <c r="K112">
        <v>0.69</v>
      </c>
      <c r="L112">
        <v>24.73</v>
      </c>
      <c r="M112">
        <v>0.53</v>
      </c>
      <c r="N112">
        <v>25.33</v>
      </c>
      <c r="O112">
        <v>27.98</v>
      </c>
      <c r="P112">
        <v>3.88</v>
      </c>
      <c r="Q112">
        <v>24.85</v>
      </c>
      <c r="R112">
        <v>32.97</v>
      </c>
      <c r="S112">
        <v>2.29</v>
      </c>
      <c r="T112">
        <v>2080</v>
      </c>
      <c r="U112">
        <v>1904</v>
      </c>
      <c r="V112">
        <v>1154</v>
      </c>
      <c r="W112">
        <v>1713</v>
      </c>
      <c r="X112">
        <v>7069</v>
      </c>
      <c r="Y112">
        <v>598</v>
      </c>
      <c r="Z112">
        <v>5535</v>
      </c>
      <c r="AA112">
        <v>1344</v>
      </c>
      <c r="AB112">
        <v>15.305999999999999</v>
      </c>
      <c r="AC112">
        <v>14546</v>
      </c>
      <c r="AD112">
        <v>0.61</v>
      </c>
      <c r="AE112" s="1">
        <v>0.42176142015456403</v>
      </c>
      <c r="AF112">
        <v>2.6017044930358901E-2</v>
      </c>
      <c r="AG112">
        <v>0.76896246367368204</v>
      </c>
      <c r="AH112">
        <v>32.969988932577799</v>
      </c>
      <c r="AI112">
        <v>0.53</v>
      </c>
      <c r="AJ112">
        <v>25.33</v>
      </c>
    </row>
    <row r="113" spans="1:36" x14ac:dyDescent="0.25">
      <c r="A113">
        <v>10605</v>
      </c>
      <c r="B113">
        <v>1272</v>
      </c>
      <c r="C113">
        <v>2208</v>
      </c>
      <c r="D113">
        <v>1</v>
      </c>
      <c r="E113">
        <v>28</v>
      </c>
      <c r="F113">
        <v>12228</v>
      </c>
      <c r="G113">
        <v>11.36</v>
      </c>
      <c r="H113">
        <v>5.65</v>
      </c>
      <c r="I113">
        <v>6.86</v>
      </c>
      <c r="J113">
        <v>0</v>
      </c>
      <c r="K113">
        <v>0.06</v>
      </c>
      <c r="L113">
        <v>25.33</v>
      </c>
      <c r="M113">
        <v>3.95</v>
      </c>
      <c r="N113">
        <v>21.96</v>
      </c>
      <c r="O113">
        <v>21.86</v>
      </c>
      <c r="P113">
        <v>5.79</v>
      </c>
      <c r="Q113">
        <v>24.82</v>
      </c>
      <c r="R113">
        <v>33.770000000000003</v>
      </c>
      <c r="S113">
        <v>11.36</v>
      </c>
      <c r="T113">
        <v>2077</v>
      </c>
      <c r="U113">
        <v>1904</v>
      </c>
      <c r="V113">
        <v>1182</v>
      </c>
      <c r="W113">
        <v>1223</v>
      </c>
      <c r="X113">
        <v>7384</v>
      </c>
      <c r="Y113">
        <v>758</v>
      </c>
      <c r="Z113">
        <v>5423</v>
      </c>
      <c r="AA113">
        <v>1969</v>
      </c>
      <c r="AB113">
        <v>14.38</v>
      </c>
      <c r="AC113">
        <v>15534</v>
      </c>
      <c r="AD113">
        <v>0.54</v>
      </c>
      <c r="AE113" s="1">
        <v>0.44410436911775902</v>
      </c>
      <c r="AF113">
        <v>3.8615957512330599E-3</v>
      </c>
      <c r="AG113">
        <v>6.4393045138188096E-2</v>
      </c>
      <c r="AH113">
        <v>33.771563500416299</v>
      </c>
      <c r="AI113">
        <v>3.95</v>
      </c>
      <c r="AJ113">
        <v>21.96</v>
      </c>
    </row>
    <row r="114" spans="1:36" x14ac:dyDescent="0.25">
      <c r="A114">
        <v>14494</v>
      </c>
      <c r="B114">
        <v>363</v>
      </c>
      <c r="C114">
        <v>2491</v>
      </c>
      <c r="D114">
        <v>6</v>
      </c>
      <c r="E114">
        <v>79</v>
      </c>
      <c r="F114">
        <v>12182</v>
      </c>
      <c r="G114">
        <v>15.53</v>
      </c>
      <c r="H114">
        <v>1.61</v>
      </c>
      <c r="I114">
        <v>7.74</v>
      </c>
      <c r="J114">
        <v>0.01</v>
      </c>
      <c r="K114">
        <v>0.16</v>
      </c>
      <c r="L114">
        <v>25.23</v>
      </c>
      <c r="M114">
        <v>1.1299999999999999</v>
      </c>
      <c r="N114">
        <v>24.76</v>
      </c>
      <c r="O114">
        <v>25.44</v>
      </c>
      <c r="P114">
        <v>8.6199999999999992</v>
      </c>
      <c r="Q114">
        <v>24.84</v>
      </c>
      <c r="R114">
        <v>33.64</v>
      </c>
      <c r="S114">
        <v>3.4</v>
      </c>
      <c r="T114">
        <v>2079</v>
      </c>
      <c r="U114">
        <v>1904</v>
      </c>
      <c r="V114">
        <v>1177</v>
      </c>
      <c r="W114">
        <v>1297</v>
      </c>
      <c r="X114">
        <v>6770</v>
      </c>
      <c r="Y114">
        <v>736</v>
      </c>
      <c r="Z114">
        <v>5516</v>
      </c>
      <c r="AA114">
        <v>2291</v>
      </c>
      <c r="AB114">
        <v>13.016999999999999</v>
      </c>
      <c r="AC114">
        <v>15313</v>
      </c>
      <c r="AD114">
        <v>0.66</v>
      </c>
      <c r="AE114" s="1">
        <v>0.41074297956997402</v>
      </c>
      <c r="AF114">
        <v>1.5370517582461799E-2</v>
      </c>
      <c r="AG114">
        <v>0.18088321363223001</v>
      </c>
      <c r="AH114">
        <v>33.644553471321103</v>
      </c>
      <c r="AI114">
        <v>1.1299999999999999</v>
      </c>
      <c r="AJ114">
        <v>24.76</v>
      </c>
    </row>
    <row r="115" spans="1:36" x14ac:dyDescent="0.25">
      <c r="A115">
        <v>13497</v>
      </c>
      <c r="B115">
        <v>3068</v>
      </c>
      <c r="C115">
        <v>1637</v>
      </c>
      <c r="D115">
        <v>0</v>
      </c>
      <c r="E115">
        <v>260</v>
      </c>
      <c r="F115">
        <v>12047</v>
      </c>
      <c r="G115">
        <v>14.46</v>
      </c>
      <c r="H115">
        <v>13.62</v>
      </c>
      <c r="I115">
        <v>5.09</v>
      </c>
      <c r="J115">
        <v>0</v>
      </c>
      <c r="K115">
        <v>0.54</v>
      </c>
      <c r="L115">
        <v>24.95</v>
      </c>
      <c r="M115">
        <v>9.5299999999999994</v>
      </c>
      <c r="N115">
        <v>16.28</v>
      </c>
      <c r="O115">
        <v>13.18</v>
      </c>
      <c r="P115">
        <v>9.9499999999999993</v>
      </c>
      <c r="Q115">
        <v>24.82</v>
      </c>
      <c r="R115">
        <v>33.270000000000003</v>
      </c>
      <c r="S115">
        <v>27.83</v>
      </c>
      <c r="T115">
        <v>2077</v>
      </c>
      <c r="U115">
        <v>1904</v>
      </c>
      <c r="V115">
        <v>1164</v>
      </c>
      <c r="W115">
        <v>438</v>
      </c>
      <c r="X115">
        <v>7997</v>
      </c>
      <c r="Y115">
        <v>1013</v>
      </c>
      <c r="Z115">
        <v>5235</v>
      </c>
      <c r="AA115">
        <v>2904</v>
      </c>
      <c r="AB115">
        <v>13.31</v>
      </c>
      <c r="AC115">
        <v>17149</v>
      </c>
      <c r="AD115">
        <v>0.47</v>
      </c>
      <c r="AE115" s="1">
        <v>0.50371107200244802</v>
      </c>
      <c r="AF115">
        <v>1.0721896051795799E-3</v>
      </c>
      <c r="AG115">
        <v>0.59745089735474399</v>
      </c>
      <c r="AH115">
        <v>33.270298834535097</v>
      </c>
      <c r="AI115">
        <v>9.5299999999999994</v>
      </c>
      <c r="AJ115">
        <v>16.28</v>
      </c>
    </row>
    <row r="116" spans="1:36" x14ac:dyDescent="0.25">
      <c r="A116">
        <v>6997</v>
      </c>
      <c r="B116">
        <v>3311</v>
      </c>
      <c r="C116">
        <v>1591</v>
      </c>
      <c r="D116">
        <v>1</v>
      </c>
      <c r="E116">
        <v>313</v>
      </c>
      <c r="F116">
        <v>11849</v>
      </c>
      <c r="G116">
        <v>7.5</v>
      </c>
      <c r="H116">
        <v>14.7</v>
      </c>
      <c r="I116">
        <v>4.9400000000000004</v>
      </c>
      <c r="J116">
        <v>0</v>
      </c>
      <c r="K116">
        <v>0.65</v>
      </c>
      <c r="L116">
        <v>24.54</v>
      </c>
      <c r="M116">
        <v>10.29</v>
      </c>
      <c r="N116">
        <v>15.82</v>
      </c>
      <c r="O116">
        <v>13.7</v>
      </c>
      <c r="P116">
        <v>4.7300000000000004</v>
      </c>
      <c r="Q116">
        <v>24.82</v>
      </c>
      <c r="R116">
        <v>32.72</v>
      </c>
      <c r="S116">
        <v>30.11</v>
      </c>
      <c r="T116">
        <v>2077</v>
      </c>
      <c r="U116">
        <v>1904</v>
      </c>
      <c r="V116">
        <v>1145</v>
      </c>
      <c r="W116">
        <v>753</v>
      </c>
      <c r="X116">
        <v>8489</v>
      </c>
      <c r="Y116">
        <v>908</v>
      </c>
      <c r="Z116">
        <v>5220</v>
      </c>
      <c r="AA116">
        <v>1993</v>
      </c>
      <c r="AB116">
        <v>15.757</v>
      </c>
      <c r="AC116">
        <v>16610</v>
      </c>
      <c r="AD116">
        <v>0.38</v>
      </c>
      <c r="AE116" s="1">
        <v>0.52513581758359396</v>
      </c>
      <c r="AF116">
        <v>1.46511103904942E-3</v>
      </c>
      <c r="AG116">
        <v>0.72055686863465196</v>
      </c>
      <c r="AH116">
        <v>32.723974184981401</v>
      </c>
      <c r="AI116">
        <v>10.29</v>
      </c>
      <c r="AJ116">
        <v>15.82</v>
      </c>
    </row>
    <row r="117" spans="1:36" x14ac:dyDescent="0.25">
      <c r="A117">
        <v>9942</v>
      </c>
      <c r="B117">
        <v>136</v>
      </c>
      <c r="C117">
        <v>2555</v>
      </c>
      <c r="D117">
        <v>10</v>
      </c>
      <c r="E117">
        <v>265</v>
      </c>
      <c r="F117">
        <v>12022</v>
      </c>
      <c r="G117">
        <v>10.65</v>
      </c>
      <c r="H117">
        <v>0.6</v>
      </c>
      <c r="I117">
        <v>7.94</v>
      </c>
      <c r="J117">
        <v>0.02</v>
      </c>
      <c r="K117">
        <v>0.55000000000000004</v>
      </c>
      <c r="L117">
        <v>24.9</v>
      </c>
      <c r="M117">
        <v>0.42</v>
      </c>
      <c r="N117">
        <v>25.41</v>
      </c>
      <c r="O117">
        <v>27.73</v>
      </c>
      <c r="P117">
        <v>4.82</v>
      </c>
      <c r="Q117">
        <v>24.85</v>
      </c>
      <c r="R117">
        <v>33.200000000000003</v>
      </c>
      <c r="S117">
        <v>1.82</v>
      </c>
      <c r="T117">
        <v>2080</v>
      </c>
      <c r="U117">
        <v>1904</v>
      </c>
      <c r="V117">
        <v>1162</v>
      </c>
      <c r="W117">
        <v>1646</v>
      </c>
      <c r="X117">
        <v>6970</v>
      </c>
      <c r="Y117">
        <v>620</v>
      </c>
      <c r="Z117">
        <v>5538</v>
      </c>
      <c r="AA117">
        <v>1531</v>
      </c>
      <c r="AB117">
        <v>14.795999999999999</v>
      </c>
      <c r="AC117">
        <v>14659</v>
      </c>
      <c r="AD117">
        <v>0.62</v>
      </c>
      <c r="AE117" s="1">
        <v>0.41625219986226902</v>
      </c>
      <c r="AF117">
        <v>2.6155846058039899E-2</v>
      </c>
      <c r="AG117">
        <v>0.61062382612842603</v>
      </c>
      <c r="AH117">
        <v>33.201395200843898</v>
      </c>
      <c r="AI117">
        <v>0.42</v>
      </c>
      <c r="AJ117">
        <v>25.41</v>
      </c>
    </row>
    <row r="118" spans="1:36" x14ac:dyDescent="0.25">
      <c r="A118">
        <v>5648</v>
      </c>
      <c r="B118">
        <v>2229</v>
      </c>
      <c r="C118">
        <v>1855</v>
      </c>
      <c r="D118">
        <v>2</v>
      </c>
      <c r="E118">
        <v>370</v>
      </c>
      <c r="F118">
        <v>12146</v>
      </c>
      <c r="G118">
        <v>6.05</v>
      </c>
      <c r="H118">
        <v>9.89</v>
      </c>
      <c r="I118">
        <v>5.76</v>
      </c>
      <c r="J118">
        <v>0</v>
      </c>
      <c r="K118">
        <v>0.77</v>
      </c>
      <c r="L118">
        <v>25.16</v>
      </c>
      <c r="M118">
        <v>6.92</v>
      </c>
      <c r="N118">
        <v>18.45</v>
      </c>
      <c r="O118">
        <v>18.79</v>
      </c>
      <c r="P118">
        <v>2.74</v>
      </c>
      <c r="Q118">
        <v>24.82</v>
      </c>
      <c r="R118">
        <v>33.54</v>
      </c>
      <c r="S118">
        <v>20.63</v>
      </c>
      <c r="T118">
        <v>2077</v>
      </c>
      <c r="U118">
        <v>1904</v>
      </c>
      <c r="V118">
        <v>1174</v>
      </c>
      <c r="W118">
        <v>1187</v>
      </c>
      <c r="X118">
        <v>8137</v>
      </c>
      <c r="Y118">
        <v>766</v>
      </c>
      <c r="Z118">
        <v>5307</v>
      </c>
      <c r="AA118">
        <v>1479</v>
      </c>
      <c r="AB118">
        <v>16.263000000000002</v>
      </c>
      <c r="AC118">
        <v>15689</v>
      </c>
      <c r="AD118">
        <v>0.43</v>
      </c>
      <c r="AE118" s="1">
        <v>0.49154487719029699</v>
      </c>
      <c r="AF118">
        <v>4.91088520334377E-3</v>
      </c>
      <c r="AG118">
        <v>0.85154504102120299</v>
      </c>
      <c r="AH118">
        <v>33.544133320524097</v>
      </c>
      <c r="AI118">
        <v>6.92</v>
      </c>
      <c r="AJ118">
        <v>18.45</v>
      </c>
    </row>
    <row r="119" spans="1:36" x14ac:dyDescent="0.25">
      <c r="A119">
        <v>6231</v>
      </c>
      <c r="B119">
        <v>599</v>
      </c>
      <c r="C119">
        <v>2440</v>
      </c>
      <c r="D119">
        <v>4</v>
      </c>
      <c r="E119">
        <v>87</v>
      </c>
      <c r="F119">
        <v>12067</v>
      </c>
      <c r="G119">
        <v>6.68</v>
      </c>
      <c r="H119">
        <v>2.66</v>
      </c>
      <c r="I119">
        <v>7.58</v>
      </c>
      <c r="J119">
        <v>0.01</v>
      </c>
      <c r="K119">
        <v>0.18</v>
      </c>
      <c r="L119">
        <v>24.99</v>
      </c>
      <c r="M119">
        <v>1.86</v>
      </c>
      <c r="N119">
        <v>24.26</v>
      </c>
      <c r="O119">
        <v>26.81</v>
      </c>
      <c r="P119">
        <v>2.35</v>
      </c>
      <c r="Q119">
        <v>24.83</v>
      </c>
      <c r="R119">
        <v>33.33</v>
      </c>
      <c r="S119">
        <v>5.52</v>
      </c>
      <c r="T119">
        <v>2078</v>
      </c>
      <c r="U119">
        <v>1904</v>
      </c>
      <c r="V119">
        <v>1166</v>
      </c>
      <c r="W119">
        <v>1719</v>
      </c>
      <c r="X119">
        <v>7362</v>
      </c>
      <c r="Y119">
        <v>595</v>
      </c>
      <c r="Z119">
        <v>5499</v>
      </c>
      <c r="AA119">
        <v>1115</v>
      </c>
      <c r="AB119">
        <v>16.085999999999999</v>
      </c>
      <c r="AC119">
        <v>14571</v>
      </c>
      <c r="AD119">
        <v>0.56000000000000005</v>
      </c>
      <c r="AE119" s="1">
        <v>0.43737087764939903</v>
      </c>
      <c r="AF119">
        <v>1.04731478936777E-2</v>
      </c>
      <c r="AG119">
        <v>0.20068025168459899</v>
      </c>
      <c r="AH119">
        <v>33.325185953759501</v>
      </c>
      <c r="AI119">
        <v>1.86</v>
      </c>
      <c r="AJ119">
        <v>24.26</v>
      </c>
    </row>
    <row r="120" spans="1:36" x14ac:dyDescent="0.25">
      <c r="A120">
        <v>12822</v>
      </c>
      <c r="B120">
        <v>3378</v>
      </c>
      <c r="C120">
        <v>1544</v>
      </c>
      <c r="D120">
        <v>2</v>
      </c>
      <c r="E120">
        <v>124</v>
      </c>
      <c r="F120">
        <v>12161</v>
      </c>
      <c r="G120">
        <v>13.74</v>
      </c>
      <c r="H120">
        <v>15</v>
      </c>
      <c r="I120">
        <v>4.8</v>
      </c>
      <c r="J120">
        <v>0</v>
      </c>
      <c r="K120">
        <v>0.26</v>
      </c>
      <c r="L120">
        <v>25.19</v>
      </c>
      <c r="M120">
        <v>10.5</v>
      </c>
      <c r="N120">
        <v>15.35</v>
      </c>
      <c r="O120">
        <v>12.11</v>
      </c>
      <c r="P120">
        <v>9.82</v>
      </c>
      <c r="Q120">
        <v>24.83</v>
      </c>
      <c r="R120">
        <v>33.58</v>
      </c>
      <c r="S120">
        <v>30.28</v>
      </c>
      <c r="T120">
        <v>2077</v>
      </c>
      <c r="U120">
        <v>1904</v>
      </c>
      <c r="V120">
        <v>1175</v>
      </c>
      <c r="W120">
        <v>374</v>
      </c>
      <c r="X120">
        <v>8155</v>
      </c>
      <c r="Y120">
        <v>1033</v>
      </c>
      <c r="Z120">
        <v>5205</v>
      </c>
      <c r="AA120">
        <v>2898</v>
      </c>
      <c r="AB120">
        <v>13.484</v>
      </c>
      <c r="AC120">
        <v>17291</v>
      </c>
      <c r="AD120">
        <v>0.45</v>
      </c>
      <c r="AE120" s="1">
        <v>0.51434692784451697</v>
      </c>
      <c r="AF120">
        <v>5.6462321502451698E-3</v>
      </c>
      <c r="AG120">
        <v>0.284991999898286</v>
      </c>
      <c r="AH120">
        <v>33.584593929508401</v>
      </c>
      <c r="AI120">
        <v>10.5</v>
      </c>
      <c r="AJ120">
        <v>15.35</v>
      </c>
    </row>
    <row r="121" spans="1:36" x14ac:dyDescent="0.25">
      <c r="A121">
        <v>6372</v>
      </c>
      <c r="B121">
        <v>3804</v>
      </c>
      <c r="C121">
        <v>1407</v>
      </c>
      <c r="D121">
        <v>13</v>
      </c>
      <c r="E121">
        <v>97</v>
      </c>
      <c r="F121">
        <v>12198</v>
      </c>
      <c r="G121">
        <v>6.83</v>
      </c>
      <c r="H121">
        <v>16.88</v>
      </c>
      <c r="I121">
        <v>4.37</v>
      </c>
      <c r="J121">
        <v>0.03</v>
      </c>
      <c r="K121">
        <v>0.2</v>
      </c>
      <c r="L121">
        <v>25.27</v>
      </c>
      <c r="M121">
        <v>11.82</v>
      </c>
      <c r="N121">
        <v>13.99</v>
      </c>
      <c r="O121">
        <v>12.1</v>
      </c>
      <c r="P121">
        <v>5.22</v>
      </c>
      <c r="Q121">
        <v>24.85</v>
      </c>
      <c r="R121">
        <v>33.69</v>
      </c>
      <c r="S121">
        <v>33.99</v>
      </c>
      <c r="T121">
        <v>2081</v>
      </c>
      <c r="U121">
        <v>1904</v>
      </c>
      <c r="V121">
        <v>1179</v>
      </c>
      <c r="W121">
        <v>618</v>
      </c>
      <c r="X121">
        <v>8726</v>
      </c>
      <c r="Y121">
        <v>951</v>
      </c>
      <c r="Z121">
        <v>5158</v>
      </c>
      <c r="AA121">
        <v>2051</v>
      </c>
      <c r="AB121">
        <v>15.835000000000001</v>
      </c>
      <c r="AC121">
        <v>16886</v>
      </c>
      <c r="AD121">
        <v>0.36</v>
      </c>
      <c r="AE121" s="1">
        <v>0.54281123268803999</v>
      </c>
      <c r="AF121">
        <v>3.26305307030706E-2</v>
      </c>
      <c r="AG121">
        <v>0.22395308252755999</v>
      </c>
      <c r="AH121">
        <v>33.6871785011719</v>
      </c>
      <c r="AI121">
        <v>11.82</v>
      </c>
      <c r="AJ121">
        <v>13.99</v>
      </c>
    </row>
    <row r="122" spans="1:36" x14ac:dyDescent="0.25">
      <c r="A122">
        <v>6250</v>
      </c>
      <c r="B122">
        <v>3796</v>
      </c>
      <c r="C122">
        <v>1415</v>
      </c>
      <c r="D122">
        <v>6</v>
      </c>
      <c r="E122">
        <v>104</v>
      </c>
      <c r="F122">
        <v>12169</v>
      </c>
      <c r="G122">
        <v>6.7</v>
      </c>
      <c r="H122">
        <v>16.850000000000001</v>
      </c>
      <c r="I122">
        <v>4.4000000000000004</v>
      </c>
      <c r="J122">
        <v>0.01</v>
      </c>
      <c r="K122">
        <v>0.22</v>
      </c>
      <c r="L122">
        <v>25.2</v>
      </c>
      <c r="M122">
        <v>11.8</v>
      </c>
      <c r="N122">
        <v>14.07</v>
      </c>
      <c r="O122">
        <v>12.18</v>
      </c>
      <c r="P122">
        <v>5.0999999999999996</v>
      </c>
      <c r="Q122">
        <v>24.83</v>
      </c>
      <c r="R122">
        <v>33.61</v>
      </c>
      <c r="S122">
        <v>33.94</v>
      </c>
      <c r="T122">
        <v>2079</v>
      </c>
      <c r="U122">
        <v>1904</v>
      </c>
      <c r="V122">
        <v>1176</v>
      </c>
      <c r="W122">
        <v>629</v>
      </c>
      <c r="X122">
        <v>8727</v>
      </c>
      <c r="Y122">
        <v>948</v>
      </c>
      <c r="Z122">
        <v>5163</v>
      </c>
      <c r="AA122">
        <v>2030</v>
      </c>
      <c r="AB122">
        <v>15.885999999999999</v>
      </c>
      <c r="AC122">
        <v>16868</v>
      </c>
      <c r="AD122">
        <v>0.36</v>
      </c>
      <c r="AE122" s="1">
        <v>0.54288774963654396</v>
      </c>
      <c r="AF122">
        <v>1.48931498521455E-2</v>
      </c>
      <c r="AG122">
        <v>0.23971964328393799</v>
      </c>
      <c r="AH122">
        <v>33.606638737198303</v>
      </c>
      <c r="AI122">
        <v>11.8</v>
      </c>
      <c r="AJ122">
        <v>14.07</v>
      </c>
    </row>
    <row r="123" spans="1:36" x14ac:dyDescent="0.25">
      <c r="A123">
        <v>10222</v>
      </c>
      <c r="B123">
        <v>2410</v>
      </c>
      <c r="C123">
        <v>1800</v>
      </c>
      <c r="D123">
        <v>9</v>
      </c>
      <c r="E123">
        <v>490</v>
      </c>
      <c r="F123">
        <v>12010</v>
      </c>
      <c r="G123">
        <v>10.95</v>
      </c>
      <c r="H123">
        <v>10.7</v>
      </c>
      <c r="I123">
        <v>5.59</v>
      </c>
      <c r="J123">
        <v>0.02</v>
      </c>
      <c r="K123">
        <v>1.01</v>
      </c>
      <c r="L123">
        <v>24.88</v>
      </c>
      <c r="M123">
        <v>7.49</v>
      </c>
      <c r="N123">
        <v>17.899999999999999</v>
      </c>
      <c r="O123">
        <v>16.52</v>
      </c>
      <c r="P123">
        <v>6.35</v>
      </c>
      <c r="Q123">
        <v>24.84</v>
      </c>
      <c r="R123">
        <v>33.17</v>
      </c>
      <c r="S123">
        <v>22.52</v>
      </c>
      <c r="T123">
        <v>2080</v>
      </c>
      <c r="U123">
        <v>1904</v>
      </c>
      <c r="V123">
        <v>1161</v>
      </c>
      <c r="W123">
        <v>850</v>
      </c>
      <c r="X123">
        <v>7953</v>
      </c>
      <c r="Y123">
        <v>877</v>
      </c>
      <c r="Z123">
        <v>5289</v>
      </c>
      <c r="AA123">
        <v>2212</v>
      </c>
      <c r="AB123">
        <v>14.625</v>
      </c>
      <c r="AC123">
        <v>16331</v>
      </c>
      <c r="AD123">
        <v>0.46</v>
      </c>
      <c r="AE123" s="1">
        <v>0.48879026704415002</v>
      </c>
      <c r="AF123">
        <v>2.39608223945546E-2</v>
      </c>
      <c r="AG123">
        <v>1.12670180392094</v>
      </c>
      <c r="AH123">
        <v>33.169576295340299</v>
      </c>
      <c r="AI123">
        <v>7.49</v>
      </c>
      <c r="AJ123">
        <v>17.899999999999999</v>
      </c>
    </row>
    <row r="124" spans="1:36" x14ac:dyDescent="0.25">
      <c r="A124">
        <v>14997</v>
      </c>
      <c r="B124">
        <v>5494</v>
      </c>
      <c r="C124">
        <v>876</v>
      </c>
      <c r="D124">
        <v>3</v>
      </c>
      <c r="E124">
        <v>83</v>
      </c>
      <c r="F124">
        <v>12234</v>
      </c>
      <c r="G124">
        <v>16.07</v>
      </c>
      <c r="H124">
        <v>24.38</v>
      </c>
      <c r="I124">
        <v>2.72</v>
      </c>
      <c r="J124">
        <v>0.01</v>
      </c>
      <c r="K124">
        <v>0.17</v>
      </c>
      <c r="L124">
        <v>25.34</v>
      </c>
      <c r="M124">
        <v>17.07</v>
      </c>
      <c r="N124">
        <v>8.7100000000000009</v>
      </c>
      <c r="O124">
        <v>6.82</v>
      </c>
      <c r="P124">
        <v>18.329999999999998</v>
      </c>
      <c r="Q124">
        <v>24.83</v>
      </c>
      <c r="R124">
        <v>33.79</v>
      </c>
      <c r="S124">
        <v>48.96</v>
      </c>
      <c r="T124">
        <v>2078</v>
      </c>
      <c r="U124">
        <v>1904</v>
      </c>
      <c r="V124">
        <v>1182</v>
      </c>
      <c r="W124">
        <v>-475</v>
      </c>
      <c r="X124">
        <v>8920</v>
      </c>
      <c r="Y124">
        <v>1309</v>
      </c>
      <c r="Z124">
        <v>4983</v>
      </c>
      <c r="AA124">
        <v>3832</v>
      </c>
      <c r="AB124">
        <v>12.538</v>
      </c>
      <c r="AC124">
        <v>19044</v>
      </c>
      <c r="AD124">
        <v>0.54</v>
      </c>
      <c r="AE124" s="1">
        <v>0.616803121891499</v>
      </c>
      <c r="AF124">
        <v>8.6688178759156201E-3</v>
      </c>
      <c r="AG124">
        <v>0.19165253329377699</v>
      </c>
      <c r="AH124">
        <v>33.788066926354198</v>
      </c>
      <c r="AI124">
        <v>17.07</v>
      </c>
      <c r="AJ124">
        <v>8.7100000000000009</v>
      </c>
    </row>
    <row r="125" spans="1:36" x14ac:dyDescent="0.25">
      <c r="A125">
        <v>12506</v>
      </c>
      <c r="B125">
        <v>2752</v>
      </c>
      <c r="C125">
        <v>1773</v>
      </c>
      <c r="D125">
        <v>13</v>
      </c>
      <c r="E125">
        <v>8</v>
      </c>
      <c r="F125">
        <v>12109</v>
      </c>
      <c r="G125">
        <v>13.4</v>
      </c>
      <c r="H125">
        <v>12.22</v>
      </c>
      <c r="I125">
        <v>5.51</v>
      </c>
      <c r="J125">
        <v>0.03</v>
      </c>
      <c r="K125">
        <v>0.02</v>
      </c>
      <c r="L125">
        <v>25.08</v>
      </c>
      <c r="M125">
        <v>8.5500000000000007</v>
      </c>
      <c r="N125">
        <v>17.62</v>
      </c>
      <c r="O125">
        <v>14.75</v>
      </c>
      <c r="P125">
        <v>8.64</v>
      </c>
      <c r="Q125">
        <v>24.85</v>
      </c>
      <c r="R125">
        <v>33.44</v>
      </c>
      <c r="S125">
        <v>24.45</v>
      </c>
      <c r="T125">
        <v>2081</v>
      </c>
      <c r="U125">
        <v>1904</v>
      </c>
      <c r="V125">
        <v>1170</v>
      </c>
      <c r="W125">
        <v>612</v>
      </c>
      <c r="X125">
        <v>7891</v>
      </c>
      <c r="Y125">
        <v>957</v>
      </c>
      <c r="Z125">
        <v>5279</v>
      </c>
      <c r="AA125">
        <v>2677</v>
      </c>
      <c r="AB125">
        <v>13.622999999999999</v>
      </c>
      <c r="AC125">
        <v>16804</v>
      </c>
      <c r="AD125">
        <v>0.47</v>
      </c>
      <c r="AE125" s="1">
        <v>0.49009105516871998</v>
      </c>
      <c r="AF125">
        <v>3.3689179997075401E-2</v>
      </c>
      <c r="AG125">
        <v>1.8321829406210001E-2</v>
      </c>
      <c r="AH125">
        <v>33.441975021879003</v>
      </c>
      <c r="AI125">
        <v>8.5500000000000007</v>
      </c>
      <c r="AJ125">
        <v>17.62</v>
      </c>
    </row>
    <row r="126" spans="1:36" x14ac:dyDescent="0.25">
      <c r="A126">
        <v>10178</v>
      </c>
      <c r="B126">
        <v>252</v>
      </c>
      <c r="C126">
        <v>2523</v>
      </c>
      <c r="D126">
        <v>4</v>
      </c>
      <c r="E126">
        <v>145</v>
      </c>
      <c r="F126">
        <v>12130</v>
      </c>
      <c r="G126">
        <v>10.9</v>
      </c>
      <c r="H126">
        <v>1.1200000000000001</v>
      </c>
      <c r="I126">
        <v>7.84</v>
      </c>
      <c r="J126">
        <v>0.01</v>
      </c>
      <c r="K126">
        <v>0.3</v>
      </c>
      <c r="L126">
        <v>25.13</v>
      </c>
      <c r="M126">
        <v>0.78</v>
      </c>
      <c r="N126">
        <v>25.08</v>
      </c>
      <c r="O126">
        <v>27.07</v>
      </c>
      <c r="P126">
        <v>5.03</v>
      </c>
      <c r="Q126">
        <v>24.83</v>
      </c>
      <c r="R126">
        <v>33.5</v>
      </c>
      <c r="S126">
        <v>2.57</v>
      </c>
      <c r="T126">
        <v>2078</v>
      </c>
      <c r="U126">
        <v>1904</v>
      </c>
      <c r="V126">
        <v>1172</v>
      </c>
      <c r="W126">
        <v>1594</v>
      </c>
      <c r="X126">
        <v>6990</v>
      </c>
      <c r="Y126">
        <v>637</v>
      </c>
      <c r="Z126">
        <v>5527</v>
      </c>
      <c r="AA126">
        <v>1607</v>
      </c>
      <c r="AB126">
        <v>14.645</v>
      </c>
      <c r="AC126">
        <v>14761</v>
      </c>
      <c r="AD126">
        <v>0.62</v>
      </c>
      <c r="AE126" s="1">
        <v>0.41678781850179802</v>
      </c>
      <c r="AF126">
        <v>9.8470699457293299E-3</v>
      </c>
      <c r="AG126">
        <v>0.33389290001473099</v>
      </c>
      <c r="AH126">
        <v>33.501278801722499</v>
      </c>
      <c r="AI126">
        <v>0.78</v>
      </c>
      <c r="AJ126">
        <v>25.08</v>
      </c>
    </row>
    <row r="127" spans="1:36" x14ac:dyDescent="0.25">
      <c r="A127">
        <v>12184</v>
      </c>
      <c r="B127">
        <v>4032</v>
      </c>
      <c r="C127">
        <v>1354</v>
      </c>
      <c r="D127">
        <v>1</v>
      </c>
      <c r="E127">
        <v>28</v>
      </c>
      <c r="F127">
        <v>12188</v>
      </c>
      <c r="G127">
        <v>13.05</v>
      </c>
      <c r="H127">
        <v>17.899999999999999</v>
      </c>
      <c r="I127">
        <v>4.21</v>
      </c>
      <c r="J127">
        <v>0</v>
      </c>
      <c r="K127">
        <v>0.06</v>
      </c>
      <c r="L127">
        <v>25.25</v>
      </c>
      <c r="M127">
        <v>12.53</v>
      </c>
      <c r="N127">
        <v>13.47</v>
      </c>
      <c r="O127">
        <v>10.18</v>
      </c>
      <c r="P127">
        <v>10.71</v>
      </c>
      <c r="Q127">
        <v>24.82</v>
      </c>
      <c r="R127">
        <v>33.659999999999997</v>
      </c>
      <c r="S127">
        <v>35.86</v>
      </c>
      <c r="T127">
        <v>2077</v>
      </c>
      <c r="U127">
        <v>1904</v>
      </c>
      <c r="V127">
        <v>1178</v>
      </c>
      <c r="W127">
        <v>194</v>
      </c>
      <c r="X127">
        <v>8457</v>
      </c>
      <c r="Y127">
        <v>1092</v>
      </c>
      <c r="Z127">
        <v>5140</v>
      </c>
      <c r="AA127">
        <v>2994</v>
      </c>
      <c r="AB127">
        <v>13.654</v>
      </c>
      <c r="AC127">
        <v>17683</v>
      </c>
      <c r="AD127">
        <v>0.43</v>
      </c>
      <c r="AE127" s="1">
        <v>0.54219909710000702</v>
      </c>
      <c r="AF127">
        <v>3.8615957512330599E-3</v>
      </c>
      <c r="AG127">
        <v>6.4389790167464295E-2</v>
      </c>
      <c r="AH127">
        <v>33.661318524434201</v>
      </c>
      <c r="AI127">
        <v>12.53</v>
      </c>
      <c r="AJ127">
        <v>13.47</v>
      </c>
    </row>
    <row r="128" spans="1:36" x14ac:dyDescent="0.25">
      <c r="A128">
        <v>12854</v>
      </c>
      <c r="B128">
        <v>2717</v>
      </c>
      <c r="C128">
        <v>1747</v>
      </c>
      <c r="D128">
        <v>0</v>
      </c>
      <c r="E128">
        <v>260</v>
      </c>
      <c r="F128">
        <v>12047</v>
      </c>
      <c r="G128">
        <v>13.77</v>
      </c>
      <c r="H128">
        <v>12.06</v>
      </c>
      <c r="I128">
        <v>5.43</v>
      </c>
      <c r="J128">
        <v>0</v>
      </c>
      <c r="K128">
        <v>0.54</v>
      </c>
      <c r="L128">
        <v>24.95</v>
      </c>
      <c r="M128">
        <v>8.44</v>
      </c>
      <c r="N128">
        <v>17.37</v>
      </c>
      <c r="O128">
        <v>14.75</v>
      </c>
      <c r="P128">
        <v>8.93</v>
      </c>
      <c r="Q128">
        <v>24.82</v>
      </c>
      <c r="R128">
        <v>33.270000000000003</v>
      </c>
      <c r="S128">
        <v>24.72</v>
      </c>
      <c r="T128">
        <v>2077</v>
      </c>
      <c r="U128">
        <v>1904</v>
      </c>
      <c r="V128">
        <v>1164</v>
      </c>
      <c r="W128">
        <v>595</v>
      </c>
      <c r="X128">
        <v>7887</v>
      </c>
      <c r="Y128">
        <v>962</v>
      </c>
      <c r="Z128">
        <v>5271</v>
      </c>
      <c r="AA128">
        <v>2707</v>
      </c>
      <c r="AB128">
        <v>13.567</v>
      </c>
      <c r="AC128">
        <v>16827</v>
      </c>
      <c r="AD128">
        <v>0.48</v>
      </c>
      <c r="AE128" s="1">
        <v>0.491927461932818</v>
      </c>
      <c r="AF128">
        <v>1.0700972280521799E-3</v>
      </c>
      <c r="AG128">
        <v>0.59745275724552305</v>
      </c>
      <c r="AH128">
        <v>33.270298834535097</v>
      </c>
      <c r="AI128">
        <v>8.44</v>
      </c>
      <c r="AJ128">
        <v>17.37</v>
      </c>
    </row>
    <row r="129" spans="1:36" x14ac:dyDescent="0.25">
      <c r="A129">
        <v>14947</v>
      </c>
      <c r="B129">
        <v>2788</v>
      </c>
      <c r="C129">
        <v>1745</v>
      </c>
      <c r="D129">
        <v>4</v>
      </c>
      <c r="E129">
        <v>30</v>
      </c>
      <c r="F129">
        <v>12173</v>
      </c>
      <c r="G129">
        <v>16.010000000000002</v>
      </c>
      <c r="H129">
        <v>12.38</v>
      </c>
      <c r="I129">
        <v>5.42</v>
      </c>
      <c r="J129">
        <v>0.01</v>
      </c>
      <c r="K129">
        <v>0.06</v>
      </c>
      <c r="L129">
        <v>25.21</v>
      </c>
      <c r="M129">
        <v>8.66</v>
      </c>
      <c r="N129">
        <v>17.350000000000001</v>
      </c>
      <c r="O129">
        <v>14.16</v>
      </c>
      <c r="P129">
        <v>10.91</v>
      </c>
      <c r="Q129">
        <v>24.83</v>
      </c>
      <c r="R129">
        <v>33.619999999999997</v>
      </c>
      <c r="S129">
        <v>24.82</v>
      </c>
      <c r="T129">
        <v>2078</v>
      </c>
      <c r="U129">
        <v>1904</v>
      </c>
      <c r="V129">
        <v>1176</v>
      </c>
      <c r="W129">
        <v>449</v>
      </c>
      <c r="X129">
        <v>7764</v>
      </c>
      <c r="Y129">
        <v>1010</v>
      </c>
      <c r="Z129">
        <v>5270</v>
      </c>
      <c r="AA129">
        <v>3054</v>
      </c>
      <c r="AB129">
        <v>12.706</v>
      </c>
      <c r="AC129">
        <v>17098</v>
      </c>
      <c r="AD129">
        <v>0.51</v>
      </c>
      <c r="AE129" s="1">
        <v>0.48825464840462102</v>
      </c>
      <c r="AF129">
        <v>9.84349444304293E-3</v>
      </c>
      <c r="AG129">
        <v>6.9919070920028803E-2</v>
      </c>
      <c r="AH129">
        <v>33.6176097907437</v>
      </c>
      <c r="AI129">
        <v>8.66</v>
      </c>
      <c r="AJ129">
        <v>17.350000000000001</v>
      </c>
    </row>
    <row r="130" spans="1:36" x14ac:dyDescent="0.25">
      <c r="A130">
        <v>7214</v>
      </c>
      <c r="B130">
        <v>514</v>
      </c>
      <c r="C130">
        <v>2498</v>
      </c>
      <c r="D130">
        <v>1</v>
      </c>
      <c r="E130">
        <v>351</v>
      </c>
      <c r="F130">
        <v>11654</v>
      </c>
      <c r="G130">
        <v>7.73</v>
      </c>
      <c r="H130">
        <v>2.2799999999999998</v>
      </c>
      <c r="I130">
        <v>7.76</v>
      </c>
      <c r="J130">
        <v>0</v>
      </c>
      <c r="K130">
        <v>0.73</v>
      </c>
      <c r="L130">
        <v>24.14</v>
      </c>
      <c r="M130">
        <v>1.6</v>
      </c>
      <c r="N130">
        <v>24.83</v>
      </c>
      <c r="O130">
        <v>26.93</v>
      </c>
      <c r="P130">
        <v>2.95</v>
      </c>
      <c r="Q130">
        <v>24.82</v>
      </c>
      <c r="R130">
        <v>32.19</v>
      </c>
      <c r="S130">
        <v>5.37</v>
      </c>
      <c r="T130">
        <v>2077</v>
      </c>
      <c r="U130">
        <v>1904</v>
      </c>
      <c r="V130">
        <v>1126</v>
      </c>
      <c r="W130">
        <v>1695</v>
      </c>
      <c r="X130">
        <v>7284</v>
      </c>
      <c r="Y130">
        <v>604</v>
      </c>
      <c r="Z130">
        <v>5520</v>
      </c>
      <c r="AA130">
        <v>1224</v>
      </c>
      <c r="AB130">
        <v>15.882999999999999</v>
      </c>
      <c r="AC130">
        <v>14632</v>
      </c>
      <c r="AD130">
        <v>0.57999999999999996</v>
      </c>
      <c r="AE130" s="1">
        <v>0.43706480985538199</v>
      </c>
      <c r="AF130">
        <v>3.3824682126201602E-3</v>
      </c>
      <c r="AG130">
        <v>0.80853689954769203</v>
      </c>
      <c r="AH130">
        <v>32.185820517816403</v>
      </c>
      <c r="AI130">
        <v>1.6</v>
      </c>
      <c r="AJ130">
        <v>24.83</v>
      </c>
    </row>
    <row r="131" spans="1:36" x14ac:dyDescent="0.25">
      <c r="A131">
        <v>6737</v>
      </c>
      <c r="B131">
        <v>961</v>
      </c>
      <c r="C131">
        <v>2300</v>
      </c>
      <c r="D131">
        <v>2</v>
      </c>
      <c r="E131">
        <v>109</v>
      </c>
      <c r="F131">
        <v>12177</v>
      </c>
      <c r="G131">
        <v>7.22</v>
      </c>
      <c r="H131">
        <v>4.26</v>
      </c>
      <c r="I131">
        <v>7.14</v>
      </c>
      <c r="J131">
        <v>0</v>
      </c>
      <c r="K131">
        <v>0.23</v>
      </c>
      <c r="L131">
        <v>25.22</v>
      </c>
      <c r="M131">
        <v>2.99</v>
      </c>
      <c r="N131">
        <v>22.86</v>
      </c>
      <c r="O131">
        <v>24.66</v>
      </c>
      <c r="P131">
        <v>2.78</v>
      </c>
      <c r="Q131">
        <v>24.83</v>
      </c>
      <c r="R131">
        <v>33.630000000000003</v>
      </c>
      <c r="S131">
        <v>8.7799999999999994</v>
      </c>
      <c r="T131">
        <v>2077</v>
      </c>
      <c r="U131">
        <v>1904</v>
      </c>
      <c r="V131">
        <v>1177</v>
      </c>
      <c r="W131">
        <v>1560</v>
      </c>
      <c r="X131">
        <v>7494</v>
      </c>
      <c r="Y131">
        <v>646</v>
      </c>
      <c r="Z131">
        <v>5453</v>
      </c>
      <c r="AA131">
        <v>1293</v>
      </c>
      <c r="AB131">
        <v>15.859</v>
      </c>
      <c r="AC131">
        <v>14886</v>
      </c>
      <c r="AD131">
        <v>0.53</v>
      </c>
      <c r="AE131" s="1">
        <v>0.44586425893335302</v>
      </c>
      <c r="AF131">
        <v>5.3899490440888799E-3</v>
      </c>
      <c r="AG131">
        <v>0.250820377757344</v>
      </c>
      <c r="AH131">
        <v>33.6296900611989</v>
      </c>
      <c r="AI131">
        <v>2.99</v>
      </c>
      <c r="AJ131">
        <v>22.86</v>
      </c>
    </row>
    <row r="132" spans="1:36" x14ac:dyDescent="0.25">
      <c r="A132">
        <v>14388</v>
      </c>
      <c r="B132">
        <v>3343</v>
      </c>
      <c r="C132">
        <v>1575</v>
      </c>
      <c r="D132">
        <v>1</v>
      </c>
      <c r="E132">
        <v>99</v>
      </c>
      <c r="F132">
        <v>12094</v>
      </c>
      <c r="G132">
        <v>15.41</v>
      </c>
      <c r="H132">
        <v>14.84</v>
      </c>
      <c r="I132">
        <v>4.8899999999999997</v>
      </c>
      <c r="J132">
        <v>0</v>
      </c>
      <c r="K132">
        <v>0.2</v>
      </c>
      <c r="L132">
        <v>25.05</v>
      </c>
      <c r="M132">
        <v>10.39</v>
      </c>
      <c r="N132">
        <v>15.66</v>
      </c>
      <c r="O132">
        <v>12.04</v>
      </c>
      <c r="P132">
        <v>11.18</v>
      </c>
      <c r="Q132">
        <v>24.82</v>
      </c>
      <c r="R132">
        <v>33.4</v>
      </c>
      <c r="S132">
        <v>29.91</v>
      </c>
      <c r="T132">
        <v>2077</v>
      </c>
      <c r="U132">
        <v>1904</v>
      </c>
      <c r="V132">
        <v>1169</v>
      </c>
      <c r="W132">
        <v>295</v>
      </c>
      <c r="X132">
        <v>8038</v>
      </c>
      <c r="Y132">
        <v>1060</v>
      </c>
      <c r="Z132">
        <v>5214</v>
      </c>
      <c r="AA132">
        <v>3124</v>
      </c>
      <c r="AB132">
        <v>12.914999999999999</v>
      </c>
      <c r="AC132">
        <v>17436</v>
      </c>
      <c r="AD132">
        <v>0.47</v>
      </c>
      <c r="AE132" s="1">
        <v>0.51090366516183305</v>
      </c>
      <c r="AF132">
        <v>2.3759854750033099E-3</v>
      </c>
      <c r="AG132">
        <v>0.22669893190559401</v>
      </c>
      <c r="AH132">
        <v>33.400230760098303</v>
      </c>
      <c r="AI132">
        <v>10.39</v>
      </c>
      <c r="AJ132">
        <v>15.66</v>
      </c>
    </row>
    <row r="133" spans="1:36" x14ac:dyDescent="0.25">
      <c r="A133">
        <v>14288</v>
      </c>
      <c r="B133">
        <v>1179</v>
      </c>
      <c r="C133">
        <v>2289</v>
      </c>
      <c r="D133">
        <v>2</v>
      </c>
      <c r="E133">
        <v>206</v>
      </c>
      <c r="F133">
        <v>11804</v>
      </c>
      <c r="G133">
        <v>15.31</v>
      </c>
      <c r="H133">
        <v>5.23</v>
      </c>
      <c r="I133">
        <v>7.11</v>
      </c>
      <c r="J133">
        <v>0</v>
      </c>
      <c r="K133">
        <v>0.43</v>
      </c>
      <c r="L133">
        <v>24.45</v>
      </c>
      <c r="M133">
        <v>3.66</v>
      </c>
      <c r="N133">
        <v>22.76</v>
      </c>
      <c r="O133">
        <v>21.63</v>
      </c>
      <c r="P133">
        <v>8.84</v>
      </c>
      <c r="Q133">
        <v>24.82</v>
      </c>
      <c r="R133">
        <v>32.6</v>
      </c>
      <c r="S133">
        <v>10.94</v>
      </c>
      <c r="T133">
        <v>2077</v>
      </c>
      <c r="U133">
        <v>1904</v>
      </c>
      <c r="V133">
        <v>1141</v>
      </c>
      <c r="W133">
        <v>1043</v>
      </c>
      <c r="X133">
        <v>7126</v>
      </c>
      <c r="Y133">
        <v>818</v>
      </c>
      <c r="Z133">
        <v>5450</v>
      </c>
      <c r="AA133">
        <v>2485</v>
      </c>
      <c r="AB133">
        <v>13.162000000000001</v>
      </c>
      <c r="AC133">
        <v>15879</v>
      </c>
      <c r="AD133">
        <v>0.59</v>
      </c>
      <c r="AE133" s="1">
        <v>0.43913076746499302</v>
      </c>
      <c r="AF133">
        <v>4.3899804945946802E-3</v>
      </c>
      <c r="AG133">
        <v>0.47462886127224502</v>
      </c>
      <c r="AH133">
        <v>32.600012804800102</v>
      </c>
      <c r="AI133">
        <v>3.66</v>
      </c>
      <c r="AJ133">
        <v>22.76</v>
      </c>
    </row>
    <row r="134" spans="1:36" x14ac:dyDescent="0.25">
      <c r="A134">
        <v>11551</v>
      </c>
      <c r="B134">
        <v>1488</v>
      </c>
      <c r="C134">
        <v>2380</v>
      </c>
      <c r="D134">
        <v>9</v>
      </c>
      <c r="E134">
        <v>345</v>
      </c>
      <c r="F134">
        <v>10758</v>
      </c>
      <c r="G134">
        <v>12.37</v>
      </c>
      <c r="H134">
        <v>6.6</v>
      </c>
      <c r="I134">
        <v>7.39</v>
      </c>
      <c r="J134">
        <v>0.02</v>
      </c>
      <c r="K134">
        <v>0.71</v>
      </c>
      <c r="L134">
        <v>22.28</v>
      </c>
      <c r="M134">
        <v>4.62</v>
      </c>
      <c r="N134">
        <v>23.66</v>
      </c>
      <c r="O134">
        <v>21.25</v>
      </c>
      <c r="P134">
        <v>6.62</v>
      </c>
      <c r="Q134">
        <v>24.84</v>
      </c>
      <c r="R134">
        <v>29.71</v>
      </c>
      <c r="S134">
        <v>14</v>
      </c>
      <c r="T134">
        <v>2080</v>
      </c>
      <c r="U134">
        <v>1904</v>
      </c>
      <c r="V134">
        <v>1040</v>
      </c>
      <c r="W134">
        <v>1139</v>
      </c>
      <c r="X134">
        <v>7388</v>
      </c>
      <c r="Y134">
        <v>788</v>
      </c>
      <c r="Z134">
        <v>5478</v>
      </c>
      <c r="AA134">
        <v>2151</v>
      </c>
      <c r="AB134">
        <v>14.428000000000001</v>
      </c>
      <c r="AC134">
        <v>15805</v>
      </c>
      <c r="AD134">
        <v>0.54</v>
      </c>
      <c r="AE134" s="1">
        <v>0.45979034356109799</v>
      </c>
      <c r="AF134">
        <v>2.3572063257836E-2</v>
      </c>
      <c r="AG134">
        <v>0.793888377674274</v>
      </c>
      <c r="AH134">
        <v>29.711499690857799</v>
      </c>
      <c r="AI134">
        <v>4.62</v>
      </c>
      <c r="AJ134">
        <v>23.66</v>
      </c>
    </row>
    <row r="135" spans="1:36" x14ac:dyDescent="0.25">
      <c r="A135">
        <v>8653</v>
      </c>
      <c r="B135">
        <v>3978</v>
      </c>
      <c r="C135">
        <v>1356</v>
      </c>
      <c r="D135">
        <v>3</v>
      </c>
      <c r="E135">
        <v>49</v>
      </c>
      <c r="F135">
        <v>12240</v>
      </c>
      <c r="G135">
        <v>9.27</v>
      </c>
      <c r="H135">
        <v>17.649999999999999</v>
      </c>
      <c r="I135">
        <v>4.21</v>
      </c>
      <c r="J135">
        <v>0.01</v>
      </c>
      <c r="K135">
        <v>0.1</v>
      </c>
      <c r="L135">
        <v>25.35</v>
      </c>
      <c r="M135">
        <v>12.36</v>
      </c>
      <c r="N135">
        <v>13.48</v>
      </c>
      <c r="O135">
        <v>10.96</v>
      </c>
      <c r="P135">
        <v>7.45</v>
      </c>
      <c r="Q135">
        <v>24.83</v>
      </c>
      <c r="R135">
        <v>33.799999999999997</v>
      </c>
      <c r="S135">
        <v>35.42</v>
      </c>
      <c r="T135">
        <v>2078</v>
      </c>
      <c r="U135">
        <v>1904</v>
      </c>
      <c r="V135">
        <v>1183</v>
      </c>
      <c r="W135">
        <v>422</v>
      </c>
      <c r="X135">
        <v>8654</v>
      </c>
      <c r="Y135">
        <v>1016</v>
      </c>
      <c r="Z135">
        <v>5141</v>
      </c>
      <c r="AA135">
        <v>2446</v>
      </c>
      <c r="AB135">
        <v>14.957000000000001</v>
      </c>
      <c r="AC135">
        <v>17257</v>
      </c>
      <c r="AD135">
        <v>0.38</v>
      </c>
      <c r="AE135" s="1">
        <v>0.54487719029765103</v>
      </c>
      <c r="AF135">
        <v>8.51292199416381E-3</v>
      </c>
      <c r="AG135">
        <v>0.112994093509569</v>
      </c>
      <c r="AH135">
        <v>33.803144413574202</v>
      </c>
      <c r="AI135">
        <v>12.36</v>
      </c>
      <c r="AJ135">
        <v>13.48</v>
      </c>
    </row>
    <row r="136" spans="1:36" x14ac:dyDescent="0.25">
      <c r="A136">
        <v>5896</v>
      </c>
      <c r="B136">
        <v>981</v>
      </c>
      <c r="C136">
        <v>2294</v>
      </c>
      <c r="D136">
        <v>20</v>
      </c>
      <c r="E136">
        <v>93</v>
      </c>
      <c r="F136">
        <v>12173</v>
      </c>
      <c r="G136">
        <v>6.32</v>
      </c>
      <c r="H136">
        <v>4.3499999999999996</v>
      </c>
      <c r="I136">
        <v>7.13</v>
      </c>
      <c r="J136">
        <v>0.04</v>
      </c>
      <c r="K136">
        <v>0.19</v>
      </c>
      <c r="L136">
        <v>25.21</v>
      </c>
      <c r="M136">
        <v>3.05</v>
      </c>
      <c r="N136">
        <v>22.8</v>
      </c>
      <c r="O136">
        <v>24.93</v>
      </c>
      <c r="P136">
        <v>2.25</v>
      </c>
      <c r="Q136">
        <v>24.87</v>
      </c>
      <c r="R136">
        <v>33.619999999999997</v>
      </c>
      <c r="S136">
        <v>8.92</v>
      </c>
      <c r="T136">
        <v>2084</v>
      </c>
      <c r="U136">
        <v>1904</v>
      </c>
      <c r="V136">
        <v>1176</v>
      </c>
      <c r="W136">
        <v>1604</v>
      </c>
      <c r="X136">
        <v>7557</v>
      </c>
      <c r="Y136">
        <v>632</v>
      </c>
      <c r="Z136">
        <v>5452</v>
      </c>
      <c r="AA136">
        <v>1173</v>
      </c>
      <c r="AB136">
        <v>16.173999999999999</v>
      </c>
      <c r="AC136">
        <v>14814</v>
      </c>
      <c r="AD136">
        <v>0.53</v>
      </c>
      <c r="AE136" s="1">
        <v>0.44930752161603699</v>
      </c>
      <c r="AF136">
        <v>5.3018537596790601E-2</v>
      </c>
      <c r="AG136">
        <v>0.214035298685503</v>
      </c>
      <c r="AH136">
        <v>33.619683909112801</v>
      </c>
      <c r="AI136">
        <v>3.05</v>
      </c>
      <c r="AJ136">
        <v>22.8</v>
      </c>
    </row>
    <row r="137" spans="1:36" x14ac:dyDescent="0.25">
      <c r="A137">
        <v>13377</v>
      </c>
      <c r="B137">
        <v>65</v>
      </c>
      <c r="C137">
        <v>2579</v>
      </c>
      <c r="D137">
        <v>0</v>
      </c>
      <c r="E137">
        <v>214</v>
      </c>
      <c r="F137">
        <v>12073</v>
      </c>
      <c r="G137">
        <v>14.33</v>
      </c>
      <c r="H137">
        <v>0.28999999999999998</v>
      </c>
      <c r="I137">
        <v>8.01</v>
      </c>
      <c r="J137">
        <v>0</v>
      </c>
      <c r="K137">
        <v>0.44</v>
      </c>
      <c r="L137">
        <v>25.01</v>
      </c>
      <c r="M137">
        <v>0.2</v>
      </c>
      <c r="N137">
        <v>25.65</v>
      </c>
      <c r="O137">
        <v>27.17</v>
      </c>
      <c r="P137">
        <v>7.56</v>
      </c>
      <c r="Q137">
        <v>24.82</v>
      </c>
      <c r="R137">
        <v>33.340000000000003</v>
      </c>
      <c r="S137">
        <v>1.07</v>
      </c>
      <c r="T137">
        <v>2077</v>
      </c>
      <c r="U137">
        <v>1904</v>
      </c>
      <c r="V137">
        <v>1167</v>
      </c>
      <c r="W137">
        <v>1464</v>
      </c>
      <c r="X137">
        <v>6724</v>
      </c>
      <c r="Y137">
        <v>681</v>
      </c>
      <c r="Z137">
        <v>5545</v>
      </c>
      <c r="AA137">
        <v>2030</v>
      </c>
      <c r="AB137">
        <v>13.500999999999999</v>
      </c>
      <c r="AC137">
        <v>14980</v>
      </c>
      <c r="AD137">
        <v>0.67</v>
      </c>
      <c r="AE137" s="1">
        <v>0.40599892876272098</v>
      </c>
      <c r="AF137" s="15">
        <v>1.6289015982453499E-4</v>
      </c>
      <c r="AG137">
        <v>0.491938753551454</v>
      </c>
      <c r="AH137">
        <v>33.343730007066497</v>
      </c>
      <c r="AI137">
        <v>0.2</v>
      </c>
      <c r="AJ137">
        <v>25.65</v>
      </c>
    </row>
    <row r="138" spans="1:36" x14ac:dyDescent="0.25">
      <c r="A138">
        <v>6375</v>
      </c>
      <c r="B138">
        <v>3968</v>
      </c>
      <c r="C138">
        <v>1525</v>
      </c>
      <c r="D138">
        <v>5</v>
      </c>
      <c r="E138">
        <v>24</v>
      </c>
      <c r="F138">
        <v>11466</v>
      </c>
      <c r="G138">
        <v>6.83</v>
      </c>
      <c r="H138">
        <v>17.61</v>
      </c>
      <c r="I138">
        <v>4.74</v>
      </c>
      <c r="J138">
        <v>0.01</v>
      </c>
      <c r="K138">
        <v>0.05</v>
      </c>
      <c r="L138">
        <v>23.75</v>
      </c>
      <c r="M138">
        <v>12.33</v>
      </c>
      <c r="N138">
        <v>15.16</v>
      </c>
      <c r="O138">
        <v>11.89</v>
      </c>
      <c r="P138">
        <v>5.37</v>
      </c>
      <c r="Q138">
        <v>24.83</v>
      </c>
      <c r="R138">
        <v>31.67</v>
      </c>
      <c r="S138">
        <v>35.28</v>
      </c>
      <c r="T138">
        <v>2078</v>
      </c>
      <c r="U138">
        <v>1904</v>
      </c>
      <c r="V138">
        <v>1108</v>
      </c>
      <c r="W138">
        <v>595</v>
      </c>
      <c r="X138">
        <v>8740</v>
      </c>
      <c r="Y138">
        <v>960</v>
      </c>
      <c r="Z138">
        <v>5198</v>
      </c>
      <c r="AA138">
        <v>2100</v>
      </c>
      <c r="AB138">
        <v>15.967000000000001</v>
      </c>
      <c r="AC138">
        <v>16998</v>
      </c>
      <c r="AD138">
        <v>0.35</v>
      </c>
      <c r="AE138" s="1">
        <v>0.55092202922947398</v>
      </c>
      <c r="AF138">
        <v>1.3278700294549001E-2</v>
      </c>
      <c r="AG138">
        <v>5.6163144409445698E-2</v>
      </c>
      <c r="AH138">
        <v>31.666676131955398</v>
      </c>
      <c r="AI138">
        <v>12.33</v>
      </c>
      <c r="AJ138">
        <v>15.16</v>
      </c>
    </row>
    <row r="139" spans="1:36" x14ac:dyDescent="0.25">
      <c r="A139">
        <v>5811</v>
      </c>
      <c r="B139">
        <v>1268</v>
      </c>
      <c r="C139">
        <v>2203</v>
      </c>
      <c r="D139">
        <v>6</v>
      </c>
      <c r="E139">
        <v>122</v>
      </c>
      <c r="F139">
        <v>12164</v>
      </c>
      <c r="G139">
        <v>6.23</v>
      </c>
      <c r="H139">
        <v>5.63</v>
      </c>
      <c r="I139">
        <v>6.84</v>
      </c>
      <c r="J139">
        <v>0.01</v>
      </c>
      <c r="K139">
        <v>0.25</v>
      </c>
      <c r="L139">
        <v>25.19</v>
      </c>
      <c r="M139">
        <v>3.94</v>
      </c>
      <c r="N139">
        <v>21.9</v>
      </c>
      <c r="O139">
        <v>23.51</v>
      </c>
      <c r="P139">
        <v>2.2999999999999998</v>
      </c>
      <c r="Q139">
        <v>24.83</v>
      </c>
      <c r="R139">
        <v>33.590000000000003</v>
      </c>
      <c r="S139">
        <v>11.54</v>
      </c>
      <c r="T139">
        <v>2079</v>
      </c>
      <c r="U139">
        <v>1904</v>
      </c>
      <c r="V139">
        <v>1175</v>
      </c>
      <c r="W139">
        <v>1512</v>
      </c>
      <c r="X139">
        <v>7683</v>
      </c>
      <c r="Y139">
        <v>661</v>
      </c>
      <c r="Z139">
        <v>5422</v>
      </c>
      <c r="AA139">
        <v>1242</v>
      </c>
      <c r="AB139">
        <v>16.192</v>
      </c>
      <c r="AC139">
        <v>15008</v>
      </c>
      <c r="AD139">
        <v>0.51</v>
      </c>
      <c r="AE139" s="1">
        <v>0.45818348764251199</v>
      </c>
      <c r="AF139">
        <v>1.4910012761978699E-2</v>
      </c>
      <c r="AG139">
        <v>0.28190926474628902</v>
      </c>
      <c r="AH139">
        <v>33.592869218896702</v>
      </c>
      <c r="AI139">
        <v>3.94</v>
      </c>
      <c r="AJ139">
        <v>21.9</v>
      </c>
    </row>
    <row r="140" spans="1:36" x14ac:dyDescent="0.25">
      <c r="A140">
        <v>5924</v>
      </c>
      <c r="B140">
        <v>2180</v>
      </c>
      <c r="C140">
        <v>2098</v>
      </c>
      <c r="D140">
        <v>2</v>
      </c>
      <c r="E140">
        <v>91</v>
      </c>
      <c r="F140">
        <v>11336</v>
      </c>
      <c r="G140">
        <v>6.35</v>
      </c>
      <c r="H140">
        <v>9.67</v>
      </c>
      <c r="I140">
        <v>6.52</v>
      </c>
      <c r="J140">
        <v>0</v>
      </c>
      <c r="K140">
        <v>0.19</v>
      </c>
      <c r="L140">
        <v>23.48</v>
      </c>
      <c r="M140">
        <v>6.77</v>
      </c>
      <c r="N140">
        <v>20.86</v>
      </c>
      <c r="O140">
        <v>19.510000000000002</v>
      </c>
      <c r="P140">
        <v>2.8</v>
      </c>
      <c r="Q140">
        <v>24.83</v>
      </c>
      <c r="R140">
        <v>31.31</v>
      </c>
      <c r="S140">
        <v>19.559999999999999</v>
      </c>
      <c r="T140">
        <v>2077</v>
      </c>
      <c r="U140">
        <v>1904</v>
      </c>
      <c r="V140">
        <v>1095</v>
      </c>
      <c r="W140">
        <v>1231</v>
      </c>
      <c r="X140">
        <v>8011</v>
      </c>
      <c r="Y140">
        <v>754</v>
      </c>
      <c r="Z140">
        <v>5386</v>
      </c>
      <c r="AA140">
        <v>1518</v>
      </c>
      <c r="AB140">
        <v>16.276</v>
      </c>
      <c r="AC140">
        <v>15669</v>
      </c>
      <c r="AD140">
        <v>0.44</v>
      </c>
      <c r="AE140" s="1">
        <v>0.48894330094115801</v>
      </c>
      <c r="AF140">
        <v>5.6425882068039104E-3</v>
      </c>
      <c r="AG140">
        <v>0.208509239608348</v>
      </c>
      <c r="AH140">
        <v>31.306050099752301</v>
      </c>
      <c r="AI140">
        <v>6.77</v>
      </c>
      <c r="AJ140">
        <v>20.86</v>
      </c>
    </row>
    <row r="141" spans="1:36" x14ac:dyDescent="0.25">
      <c r="A141">
        <v>13271</v>
      </c>
      <c r="B141">
        <v>2247</v>
      </c>
      <c r="C141">
        <v>1922</v>
      </c>
      <c r="D141">
        <v>9</v>
      </c>
      <c r="E141">
        <v>383</v>
      </c>
      <c r="F141">
        <v>11777</v>
      </c>
      <c r="G141">
        <v>14.22</v>
      </c>
      <c r="H141">
        <v>9.9700000000000006</v>
      </c>
      <c r="I141">
        <v>5.97</v>
      </c>
      <c r="J141">
        <v>0.02</v>
      </c>
      <c r="K141">
        <v>0.79</v>
      </c>
      <c r="L141">
        <v>24.39</v>
      </c>
      <c r="M141">
        <v>6.98</v>
      </c>
      <c r="N141">
        <v>19.11</v>
      </c>
      <c r="O141">
        <v>16.79</v>
      </c>
      <c r="P141">
        <v>8.7899999999999991</v>
      </c>
      <c r="Q141">
        <v>24.84</v>
      </c>
      <c r="R141">
        <v>32.520000000000003</v>
      </c>
      <c r="S141">
        <v>20.83</v>
      </c>
      <c r="T141">
        <v>2080</v>
      </c>
      <c r="U141">
        <v>1904</v>
      </c>
      <c r="V141">
        <v>1138</v>
      </c>
      <c r="W141">
        <v>735</v>
      </c>
      <c r="X141">
        <v>7670</v>
      </c>
      <c r="Y141">
        <v>917</v>
      </c>
      <c r="Z141">
        <v>5328</v>
      </c>
      <c r="AA141">
        <v>2628</v>
      </c>
      <c r="AB141">
        <v>13.532999999999999</v>
      </c>
      <c r="AC141">
        <v>16543</v>
      </c>
      <c r="AD141">
        <v>0.51</v>
      </c>
      <c r="AE141" s="1">
        <v>0.477924860356568</v>
      </c>
      <c r="AF141">
        <v>2.2883984511699498E-2</v>
      </c>
      <c r="AG141">
        <v>0.88083572268679799</v>
      </c>
      <c r="AH141">
        <v>32.5245340980672</v>
      </c>
      <c r="AI141">
        <v>6.98</v>
      </c>
      <c r="AJ141">
        <v>19.11</v>
      </c>
    </row>
    <row r="142" spans="1:36" x14ac:dyDescent="0.25">
      <c r="A142">
        <v>6830</v>
      </c>
      <c r="B142">
        <v>2484</v>
      </c>
      <c r="C142">
        <v>1823</v>
      </c>
      <c r="D142">
        <v>10</v>
      </c>
      <c r="E142">
        <v>116</v>
      </c>
      <c r="F142">
        <v>12164</v>
      </c>
      <c r="G142">
        <v>7.32</v>
      </c>
      <c r="H142">
        <v>11.02</v>
      </c>
      <c r="I142">
        <v>5.66</v>
      </c>
      <c r="J142">
        <v>0.02</v>
      </c>
      <c r="K142">
        <v>0.24</v>
      </c>
      <c r="L142">
        <v>25.2</v>
      </c>
      <c r="M142">
        <v>7.72</v>
      </c>
      <c r="N142">
        <v>18.13</v>
      </c>
      <c r="O142">
        <v>17.27</v>
      </c>
      <c r="P142">
        <v>3.73</v>
      </c>
      <c r="Q142">
        <v>24.84</v>
      </c>
      <c r="R142">
        <v>33.590000000000003</v>
      </c>
      <c r="S142">
        <v>22.31</v>
      </c>
      <c r="T142">
        <v>2080</v>
      </c>
      <c r="U142">
        <v>1904</v>
      </c>
      <c r="V142">
        <v>1176</v>
      </c>
      <c r="W142">
        <v>1038</v>
      </c>
      <c r="X142">
        <v>8138</v>
      </c>
      <c r="Y142">
        <v>815</v>
      </c>
      <c r="Z142">
        <v>5295</v>
      </c>
      <c r="AA142">
        <v>1741</v>
      </c>
      <c r="AB142">
        <v>15.749000000000001</v>
      </c>
      <c r="AC142">
        <v>15989</v>
      </c>
      <c r="AD142">
        <v>0.42</v>
      </c>
      <c r="AE142" s="1">
        <v>0.49292218226337098</v>
      </c>
      <c r="AF142">
        <v>2.48862935475372E-2</v>
      </c>
      <c r="AG142">
        <v>0.26606650896574302</v>
      </c>
      <c r="AH142">
        <v>33.594732821153102</v>
      </c>
      <c r="AI142">
        <v>7.72</v>
      </c>
      <c r="AJ142">
        <v>18.13</v>
      </c>
    </row>
    <row r="143" spans="1:36" x14ac:dyDescent="0.25">
      <c r="A143">
        <v>9799</v>
      </c>
      <c r="B143">
        <v>2200</v>
      </c>
      <c r="C143">
        <v>1914</v>
      </c>
      <c r="D143">
        <v>1</v>
      </c>
      <c r="E143">
        <v>77</v>
      </c>
      <c r="F143">
        <v>12202</v>
      </c>
      <c r="G143">
        <v>10.5</v>
      </c>
      <c r="H143">
        <v>9.77</v>
      </c>
      <c r="I143">
        <v>5.95</v>
      </c>
      <c r="J143">
        <v>0</v>
      </c>
      <c r="K143">
        <v>0.16</v>
      </c>
      <c r="L143">
        <v>25.27</v>
      </c>
      <c r="M143">
        <v>6.84</v>
      </c>
      <c r="N143">
        <v>19.03</v>
      </c>
      <c r="O143">
        <v>17.690000000000001</v>
      </c>
      <c r="P143">
        <v>5.79</v>
      </c>
      <c r="Q143">
        <v>24.82</v>
      </c>
      <c r="R143">
        <v>33.700000000000003</v>
      </c>
      <c r="S143">
        <v>19.71</v>
      </c>
      <c r="T143">
        <v>2077</v>
      </c>
      <c r="U143">
        <v>1904</v>
      </c>
      <c r="V143">
        <v>1179</v>
      </c>
      <c r="W143">
        <v>956</v>
      </c>
      <c r="X143">
        <v>7832</v>
      </c>
      <c r="Y143">
        <v>843</v>
      </c>
      <c r="Z143">
        <v>5326</v>
      </c>
      <c r="AA143">
        <v>2110</v>
      </c>
      <c r="AB143">
        <v>14.645</v>
      </c>
      <c r="AC143">
        <v>16111</v>
      </c>
      <c r="AD143">
        <v>0.47</v>
      </c>
      <c r="AE143" s="1">
        <v>0.47608845359246998</v>
      </c>
      <c r="AF143">
        <v>2.4037487363172899E-3</v>
      </c>
      <c r="AG143">
        <v>0.17806732114632001</v>
      </c>
      <c r="AH143">
        <v>33.698832770853997</v>
      </c>
      <c r="AI143">
        <v>6.84</v>
      </c>
      <c r="AJ143">
        <v>19.03</v>
      </c>
    </row>
    <row r="144" spans="1:36" x14ac:dyDescent="0.25">
      <c r="A144">
        <v>13578</v>
      </c>
      <c r="B144">
        <v>3942</v>
      </c>
      <c r="C144">
        <v>1394</v>
      </c>
      <c r="D144">
        <v>8</v>
      </c>
      <c r="E144">
        <v>210</v>
      </c>
      <c r="F144">
        <v>11947</v>
      </c>
      <c r="G144">
        <v>14.55</v>
      </c>
      <c r="H144">
        <v>17.5</v>
      </c>
      <c r="I144">
        <v>4.33</v>
      </c>
      <c r="J144">
        <v>0.02</v>
      </c>
      <c r="K144">
        <v>0.43</v>
      </c>
      <c r="L144">
        <v>24.75</v>
      </c>
      <c r="M144">
        <v>12.25</v>
      </c>
      <c r="N144">
        <v>13.85</v>
      </c>
      <c r="O144">
        <v>10.26</v>
      </c>
      <c r="P144">
        <v>11.75</v>
      </c>
      <c r="Q144">
        <v>24.84</v>
      </c>
      <c r="R144">
        <v>32.99</v>
      </c>
      <c r="S144">
        <v>35.479999999999997</v>
      </c>
      <c r="T144">
        <v>2080</v>
      </c>
      <c r="U144">
        <v>1904</v>
      </c>
      <c r="V144">
        <v>1155</v>
      </c>
      <c r="W144">
        <v>142</v>
      </c>
      <c r="X144">
        <v>8353</v>
      </c>
      <c r="Y144">
        <v>1109</v>
      </c>
      <c r="Z144">
        <v>5155</v>
      </c>
      <c r="AA144">
        <v>3168</v>
      </c>
      <c r="AB144">
        <v>13.244999999999999</v>
      </c>
      <c r="AC144">
        <v>17785</v>
      </c>
      <c r="AD144">
        <v>0.45</v>
      </c>
      <c r="AE144" s="1">
        <v>0.54005662254189302</v>
      </c>
      <c r="AF144">
        <v>2.06362117068014E-2</v>
      </c>
      <c r="AG144">
        <v>0.48268587142598401</v>
      </c>
      <c r="AH144">
        <v>32.9945404104255</v>
      </c>
      <c r="AI144">
        <v>12.25</v>
      </c>
      <c r="AJ144">
        <v>13.85</v>
      </c>
    </row>
    <row r="145" spans="1:36" x14ac:dyDescent="0.25">
      <c r="A145">
        <v>14997</v>
      </c>
      <c r="B145">
        <v>7485</v>
      </c>
      <c r="C145">
        <v>258</v>
      </c>
      <c r="D145">
        <v>8</v>
      </c>
      <c r="E145">
        <v>44</v>
      </c>
      <c r="F145">
        <v>12250</v>
      </c>
      <c r="G145">
        <v>16.07</v>
      </c>
      <c r="H145">
        <v>33.22</v>
      </c>
      <c r="I145">
        <v>0.8</v>
      </c>
      <c r="J145">
        <v>0.02</v>
      </c>
      <c r="K145">
        <v>0.09</v>
      </c>
      <c r="L145">
        <v>25.37</v>
      </c>
      <c r="M145">
        <v>23.25</v>
      </c>
      <c r="N145">
        <v>2.57</v>
      </c>
      <c r="O145">
        <v>5.04</v>
      </c>
      <c r="P145">
        <v>27.3</v>
      </c>
      <c r="Q145">
        <v>24.84</v>
      </c>
      <c r="R145">
        <v>33.83</v>
      </c>
      <c r="S145">
        <v>66.540000000000006</v>
      </c>
      <c r="T145">
        <v>2079</v>
      </c>
      <c r="U145">
        <v>1904</v>
      </c>
      <c r="V145">
        <v>1184</v>
      </c>
      <c r="W145">
        <v>-1150</v>
      </c>
      <c r="X145">
        <v>9761</v>
      </c>
      <c r="Y145">
        <v>1528</v>
      </c>
      <c r="Z145">
        <v>4780</v>
      </c>
      <c r="AA145">
        <v>4402</v>
      </c>
      <c r="AB145">
        <v>12.417999999999999</v>
      </c>
      <c r="AC145">
        <v>20471</v>
      </c>
      <c r="AD145">
        <v>0.72</v>
      </c>
      <c r="AE145" s="1">
        <v>0.73777641747647105</v>
      </c>
      <c r="AF145">
        <v>1.9851908228343498E-2</v>
      </c>
      <c r="AG145">
        <v>0.100615254770285</v>
      </c>
      <c r="AH145">
        <v>33.830676879970298</v>
      </c>
      <c r="AI145">
        <v>23.25</v>
      </c>
      <c r="AJ145">
        <v>2.57</v>
      </c>
    </row>
    <row r="146" spans="1:36" x14ac:dyDescent="0.25">
      <c r="A146">
        <v>14997</v>
      </c>
      <c r="B146">
        <v>1934</v>
      </c>
      <c r="C146">
        <v>1917</v>
      </c>
      <c r="D146">
        <v>22</v>
      </c>
      <c r="E146">
        <v>636</v>
      </c>
      <c r="F146">
        <v>12006</v>
      </c>
      <c r="G146">
        <v>16.07</v>
      </c>
      <c r="H146">
        <v>8.58</v>
      </c>
      <c r="I146">
        <v>5.96</v>
      </c>
      <c r="J146">
        <v>0.04</v>
      </c>
      <c r="K146">
        <v>1.32</v>
      </c>
      <c r="L146">
        <v>24.87</v>
      </c>
      <c r="M146">
        <v>6.01</v>
      </c>
      <c r="N146">
        <v>19.059999999999999</v>
      </c>
      <c r="O146">
        <v>17.63</v>
      </c>
      <c r="P146">
        <v>10.1</v>
      </c>
      <c r="Q146">
        <v>24.88</v>
      </c>
      <c r="R146">
        <v>33.159999999999997</v>
      </c>
      <c r="S146">
        <v>18.63</v>
      </c>
      <c r="T146">
        <v>2085</v>
      </c>
      <c r="U146">
        <v>1904</v>
      </c>
      <c r="V146">
        <v>1160</v>
      </c>
      <c r="W146">
        <v>718</v>
      </c>
      <c r="X146">
        <v>7490</v>
      </c>
      <c r="Y146">
        <v>922</v>
      </c>
      <c r="Z146">
        <v>5327</v>
      </c>
      <c r="AA146">
        <v>2786</v>
      </c>
      <c r="AB146">
        <v>12.929</v>
      </c>
      <c r="AC146">
        <v>16525</v>
      </c>
      <c r="AD146">
        <v>0.55000000000000004</v>
      </c>
      <c r="AE146" s="1">
        <v>0.46782462315402801</v>
      </c>
      <c r="AF146">
        <v>5.5901736866372502E-2</v>
      </c>
      <c r="AG146">
        <v>1.46338997000656</v>
      </c>
      <c r="AH146">
        <v>33.157793182582999</v>
      </c>
      <c r="AI146">
        <v>6.01</v>
      </c>
      <c r="AJ146">
        <v>19.059999999999999</v>
      </c>
    </row>
    <row r="147" spans="1:36" x14ac:dyDescent="0.25">
      <c r="A147">
        <v>14509</v>
      </c>
      <c r="B147">
        <v>2619</v>
      </c>
      <c r="C147">
        <v>1841</v>
      </c>
      <c r="D147">
        <v>5</v>
      </c>
      <c r="E147">
        <v>258</v>
      </c>
      <c r="F147">
        <v>11741</v>
      </c>
      <c r="G147">
        <v>15.54</v>
      </c>
      <c r="H147">
        <v>11.62</v>
      </c>
      <c r="I147">
        <v>5.72</v>
      </c>
      <c r="J147">
        <v>0.01</v>
      </c>
      <c r="K147">
        <v>0.53</v>
      </c>
      <c r="L147">
        <v>24.32</v>
      </c>
      <c r="M147">
        <v>8.14</v>
      </c>
      <c r="N147">
        <v>18.3</v>
      </c>
      <c r="O147">
        <v>15.05</v>
      </c>
      <c r="P147">
        <v>10.28</v>
      </c>
      <c r="Q147">
        <v>24.83</v>
      </c>
      <c r="R147">
        <v>32.43</v>
      </c>
      <c r="S147">
        <v>23.84</v>
      </c>
      <c r="T147">
        <v>2078</v>
      </c>
      <c r="U147">
        <v>1904</v>
      </c>
      <c r="V147">
        <v>1135</v>
      </c>
      <c r="W147">
        <v>542</v>
      </c>
      <c r="X147">
        <v>7730</v>
      </c>
      <c r="Y147">
        <v>981</v>
      </c>
      <c r="Z147">
        <v>5301</v>
      </c>
      <c r="AA147">
        <v>2927</v>
      </c>
      <c r="AB147">
        <v>13.03</v>
      </c>
      <c r="AC147">
        <v>16939</v>
      </c>
      <c r="AD147">
        <v>0.51</v>
      </c>
      <c r="AE147" s="1">
        <v>0.48756599586808402</v>
      </c>
      <c r="AF147">
        <v>1.3587713464964801E-2</v>
      </c>
      <c r="AG147">
        <v>0.59308840402316698</v>
      </c>
      <c r="AH147">
        <v>32.425247707055199</v>
      </c>
      <c r="AI147">
        <v>8.14</v>
      </c>
      <c r="AJ147">
        <v>18.3</v>
      </c>
    </row>
    <row r="148" spans="1:36" x14ac:dyDescent="0.25">
      <c r="A148">
        <v>5837</v>
      </c>
      <c r="B148">
        <v>259</v>
      </c>
      <c r="C148">
        <v>2790</v>
      </c>
      <c r="D148">
        <v>2</v>
      </c>
      <c r="E148">
        <v>17</v>
      </c>
      <c r="F148">
        <v>10967</v>
      </c>
      <c r="G148">
        <v>6.25</v>
      </c>
      <c r="H148">
        <v>1.1499999999999999</v>
      </c>
      <c r="I148">
        <v>8.67</v>
      </c>
      <c r="J148">
        <v>0</v>
      </c>
      <c r="K148">
        <v>0.04</v>
      </c>
      <c r="L148">
        <v>22.72</v>
      </c>
      <c r="M148">
        <v>0.8</v>
      </c>
      <c r="N148">
        <v>27.74</v>
      </c>
      <c r="O148">
        <v>29.5</v>
      </c>
      <c r="P148">
        <v>2.02</v>
      </c>
      <c r="Q148">
        <v>24.83</v>
      </c>
      <c r="R148">
        <v>30.29</v>
      </c>
      <c r="S148">
        <v>2.34</v>
      </c>
      <c r="T148">
        <v>2077</v>
      </c>
      <c r="U148">
        <v>1904</v>
      </c>
      <c r="V148">
        <v>1060</v>
      </c>
      <c r="W148">
        <v>1905</v>
      </c>
      <c r="X148">
        <v>7169</v>
      </c>
      <c r="Y148">
        <v>537</v>
      </c>
      <c r="Z148">
        <v>5614</v>
      </c>
      <c r="AA148">
        <v>958</v>
      </c>
      <c r="AB148">
        <v>16.478000000000002</v>
      </c>
      <c r="AC148">
        <v>14278</v>
      </c>
      <c r="AD148">
        <v>0.6</v>
      </c>
      <c r="AE148" s="1">
        <v>0.43362154717269802</v>
      </c>
      <c r="AF148">
        <v>5.6986491532287501E-3</v>
      </c>
      <c r="AG148">
        <v>4.0110848518377901E-2</v>
      </c>
      <c r="AH148">
        <v>30.288486749131501</v>
      </c>
      <c r="AI148">
        <v>0.8</v>
      </c>
      <c r="AJ148">
        <v>27.74</v>
      </c>
    </row>
    <row r="149" spans="1:36" x14ac:dyDescent="0.25">
      <c r="A149">
        <v>7697</v>
      </c>
      <c r="B149">
        <v>297</v>
      </c>
      <c r="C149">
        <v>2498</v>
      </c>
      <c r="D149">
        <v>1</v>
      </c>
      <c r="E149">
        <v>186</v>
      </c>
      <c r="F149">
        <v>12143</v>
      </c>
      <c r="G149">
        <v>8.25</v>
      </c>
      <c r="H149">
        <v>1.32</v>
      </c>
      <c r="I149">
        <v>7.76</v>
      </c>
      <c r="J149">
        <v>0</v>
      </c>
      <c r="K149">
        <v>0.38</v>
      </c>
      <c r="L149">
        <v>25.15</v>
      </c>
      <c r="M149">
        <v>0.92</v>
      </c>
      <c r="N149">
        <v>24.84</v>
      </c>
      <c r="O149">
        <v>27.65</v>
      </c>
      <c r="P149">
        <v>3.24</v>
      </c>
      <c r="Q149">
        <v>24.82</v>
      </c>
      <c r="R149">
        <v>33.54</v>
      </c>
      <c r="S149">
        <v>3.06</v>
      </c>
      <c r="T149">
        <v>2077</v>
      </c>
      <c r="U149">
        <v>1904</v>
      </c>
      <c r="V149">
        <v>1174</v>
      </c>
      <c r="W149">
        <v>1726</v>
      </c>
      <c r="X149">
        <v>7165</v>
      </c>
      <c r="Y149">
        <v>593</v>
      </c>
      <c r="Z149">
        <v>5519</v>
      </c>
      <c r="AA149">
        <v>1244</v>
      </c>
      <c r="AB149">
        <v>15.566000000000001</v>
      </c>
      <c r="AC149">
        <v>14521</v>
      </c>
      <c r="AD149">
        <v>0.59</v>
      </c>
      <c r="AE149" s="1">
        <v>0.42489861504323201</v>
      </c>
      <c r="AF149">
        <v>2.5043184218458501E-3</v>
      </c>
      <c r="AG149">
        <v>0.42765734691844698</v>
      </c>
      <c r="AH149">
        <v>33.536548048978901</v>
      </c>
      <c r="AI149">
        <v>0.92</v>
      </c>
      <c r="AJ149">
        <v>24.84</v>
      </c>
    </row>
    <row r="150" spans="1:36" x14ac:dyDescent="0.25">
      <c r="A150">
        <v>14806</v>
      </c>
      <c r="B150">
        <v>3054</v>
      </c>
      <c r="C150">
        <v>1665</v>
      </c>
      <c r="D150">
        <v>2</v>
      </c>
      <c r="E150">
        <v>97</v>
      </c>
      <c r="F150">
        <v>12094</v>
      </c>
      <c r="G150">
        <v>15.86</v>
      </c>
      <c r="H150">
        <v>13.55</v>
      </c>
      <c r="I150">
        <v>5.17</v>
      </c>
      <c r="J150">
        <v>0</v>
      </c>
      <c r="K150">
        <v>0.2</v>
      </c>
      <c r="L150">
        <v>25.05</v>
      </c>
      <c r="M150">
        <v>9.49</v>
      </c>
      <c r="N150">
        <v>16.559999999999999</v>
      </c>
      <c r="O150">
        <v>13.1</v>
      </c>
      <c r="P150">
        <v>11.12</v>
      </c>
      <c r="Q150">
        <v>24.83</v>
      </c>
      <c r="R150">
        <v>33.4</v>
      </c>
      <c r="S150">
        <v>27.33</v>
      </c>
      <c r="T150">
        <v>2077</v>
      </c>
      <c r="U150">
        <v>1904</v>
      </c>
      <c r="V150">
        <v>1169</v>
      </c>
      <c r="W150">
        <v>369</v>
      </c>
      <c r="X150">
        <v>7890</v>
      </c>
      <c r="Y150">
        <v>1036</v>
      </c>
      <c r="Z150">
        <v>5243</v>
      </c>
      <c r="AA150">
        <v>3105</v>
      </c>
      <c r="AB150">
        <v>12.776999999999999</v>
      </c>
      <c r="AC150">
        <v>17274</v>
      </c>
      <c r="AD150">
        <v>0.49</v>
      </c>
      <c r="AE150" s="1">
        <v>0.49934960593771499</v>
      </c>
      <c r="AF150">
        <v>6.0283110344119296E-3</v>
      </c>
      <c r="AG150">
        <v>0.223452420297231</v>
      </c>
      <c r="AH150">
        <v>33.400230760098303</v>
      </c>
      <c r="AI150">
        <v>9.49</v>
      </c>
      <c r="AJ150">
        <v>16.559999999999999</v>
      </c>
    </row>
    <row r="151" spans="1:36" x14ac:dyDescent="0.25">
      <c r="A151">
        <v>13447</v>
      </c>
      <c r="B151">
        <v>2654</v>
      </c>
      <c r="C151">
        <v>1770</v>
      </c>
      <c r="D151">
        <v>3</v>
      </c>
      <c r="E151">
        <v>322</v>
      </c>
      <c r="F151">
        <v>11962</v>
      </c>
      <c r="G151">
        <v>14.41</v>
      </c>
      <c r="H151">
        <v>11.78</v>
      </c>
      <c r="I151">
        <v>5.5</v>
      </c>
      <c r="J151">
        <v>0.01</v>
      </c>
      <c r="K151">
        <v>0.67</v>
      </c>
      <c r="L151">
        <v>24.78</v>
      </c>
      <c r="M151">
        <v>8.25</v>
      </c>
      <c r="N151">
        <v>17.600000000000001</v>
      </c>
      <c r="O151">
        <v>14.93</v>
      </c>
      <c r="P151">
        <v>9.39</v>
      </c>
      <c r="Q151">
        <v>24.83</v>
      </c>
      <c r="R151">
        <v>33.03</v>
      </c>
      <c r="S151">
        <v>24.31</v>
      </c>
      <c r="T151">
        <v>2078</v>
      </c>
      <c r="U151">
        <v>1904</v>
      </c>
      <c r="V151">
        <v>1156</v>
      </c>
      <c r="W151">
        <v>582</v>
      </c>
      <c r="X151">
        <v>7831</v>
      </c>
      <c r="Y151">
        <v>966</v>
      </c>
      <c r="Z151">
        <v>5279</v>
      </c>
      <c r="AA151">
        <v>2775</v>
      </c>
      <c r="AB151">
        <v>13.387</v>
      </c>
      <c r="AC151">
        <v>16851</v>
      </c>
      <c r="AD151">
        <v>0.49</v>
      </c>
      <c r="AE151" s="1">
        <v>0.49024408906572797</v>
      </c>
      <c r="AF151">
        <v>8.5863981090855794E-3</v>
      </c>
      <c r="AG151">
        <v>0.74212153987040397</v>
      </c>
      <c r="AH151">
        <v>33.034896408428899</v>
      </c>
      <c r="AI151">
        <v>8.25</v>
      </c>
      <c r="AJ151">
        <v>17.600000000000001</v>
      </c>
    </row>
    <row r="152" spans="1:36" x14ac:dyDescent="0.25">
      <c r="A152">
        <v>5742</v>
      </c>
      <c r="B152">
        <v>395</v>
      </c>
      <c r="C152">
        <v>2476</v>
      </c>
      <c r="D152">
        <v>12</v>
      </c>
      <c r="E152">
        <v>69</v>
      </c>
      <c r="F152">
        <v>12210</v>
      </c>
      <c r="G152">
        <v>6.15</v>
      </c>
      <c r="H152">
        <v>1.75</v>
      </c>
      <c r="I152">
        <v>7.69</v>
      </c>
      <c r="J152">
        <v>0.02</v>
      </c>
      <c r="K152">
        <v>0.14000000000000001</v>
      </c>
      <c r="L152">
        <v>25.29</v>
      </c>
      <c r="M152">
        <v>1.23</v>
      </c>
      <c r="N152">
        <v>24.61</v>
      </c>
      <c r="O152">
        <v>28.02</v>
      </c>
      <c r="P152">
        <v>2.0099999999999998</v>
      </c>
      <c r="Q152">
        <v>24.85</v>
      </c>
      <c r="R152">
        <v>33.72</v>
      </c>
      <c r="S152">
        <v>3.67</v>
      </c>
      <c r="T152">
        <v>2081</v>
      </c>
      <c r="U152">
        <v>1904</v>
      </c>
      <c r="V152">
        <v>1180</v>
      </c>
      <c r="W152">
        <v>1812</v>
      </c>
      <c r="X152">
        <v>7313</v>
      </c>
      <c r="Y152">
        <v>564</v>
      </c>
      <c r="Z152">
        <v>5511</v>
      </c>
      <c r="AA152">
        <v>984</v>
      </c>
      <c r="AB152">
        <v>16.245000000000001</v>
      </c>
      <c r="AC152">
        <v>14372</v>
      </c>
      <c r="AD152">
        <v>0.57999999999999996</v>
      </c>
      <c r="AE152" s="1">
        <v>0.43262682684214498</v>
      </c>
      <c r="AF152">
        <v>3.0902246073854101E-2</v>
      </c>
      <c r="AG152">
        <v>0.15891717901673999</v>
      </c>
      <c r="AH152">
        <v>33.721960702547698</v>
      </c>
      <c r="AI152">
        <v>1.23</v>
      </c>
      <c r="AJ152">
        <v>24.61</v>
      </c>
    </row>
    <row r="153" spans="1:36" x14ac:dyDescent="0.25">
      <c r="A153">
        <v>5823</v>
      </c>
      <c r="B153">
        <v>3323</v>
      </c>
      <c r="C153">
        <v>1613</v>
      </c>
      <c r="D153">
        <v>3</v>
      </c>
      <c r="E153">
        <v>77</v>
      </c>
      <c r="F153">
        <v>11959</v>
      </c>
      <c r="G153">
        <v>6.24</v>
      </c>
      <c r="H153">
        <v>14.75</v>
      </c>
      <c r="I153">
        <v>5.01</v>
      </c>
      <c r="J153">
        <v>0.01</v>
      </c>
      <c r="K153">
        <v>0.16</v>
      </c>
      <c r="L153">
        <v>24.77</v>
      </c>
      <c r="M153">
        <v>10.32</v>
      </c>
      <c r="N153">
        <v>16.04</v>
      </c>
      <c r="O153">
        <v>14.12</v>
      </c>
      <c r="P153">
        <v>3.87</v>
      </c>
      <c r="Q153">
        <v>24.83</v>
      </c>
      <c r="R153">
        <v>33.03</v>
      </c>
      <c r="S153">
        <v>29.67</v>
      </c>
      <c r="T153">
        <v>2078</v>
      </c>
      <c r="U153">
        <v>1904</v>
      </c>
      <c r="V153">
        <v>1156</v>
      </c>
      <c r="W153">
        <v>825</v>
      </c>
      <c r="X153">
        <v>8535</v>
      </c>
      <c r="Y153">
        <v>884</v>
      </c>
      <c r="Z153">
        <v>5227</v>
      </c>
      <c r="AA153">
        <v>1831</v>
      </c>
      <c r="AB153">
        <v>16.108000000000001</v>
      </c>
      <c r="AC153">
        <v>16477</v>
      </c>
      <c r="AD153">
        <v>0.37</v>
      </c>
      <c r="AE153" s="1">
        <v>0.52505930063508999</v>
      </c>
      <c r="AF153">
        <v>7.1967948024397998E-3</v>
      </c>
      <c r="AG153">
        <v>0.176710953174915</v>
      </c>
      <c r="AH153">
        <v>33.028312842661101</v>
      </c>
      <c r="AI153">
        <v>10.32</v>
      </c>
      <c r="AJ153">
        <v>16.04</v>
      </c>
    </row>
    <row r="154" spans="1:36" x14ac:dyDescent="0.25">
      <c r="A154">
        <v>14996</v>
      </c>
      <c r="B154">
        <v>185</v>
      </c>
      <c r="C154">
        <v>2559</v>
      </c>
      <c r="D154">
        <v>9</v>
      </c>
      <c r="E154">
        <v>11</v>
      </c>
      <c r="F154">
        <v>12188</v>
      </c>
      <c r="G154">
        <v>16.07</v>
      </c>
      <c r="H154">
        <v>0.82</v>
      </c>
      <c r="I154">
        <v>7.95</v>
      </c>
      <c r="J154">
        <v>0.02</v>
      </c>
      <c r="K154">
        <v>0.02</v>
      </c>
      <c r="L154">
        <v>25.25</v>
      </c>
      <c r="M154">
        <v>0.56999999999999995</v>
      </c>
      <c r="N154">
        <v>25.44</v>
      </c>
      <c r="O154">
        <v>26.27</v>
      </c>
      <c r="P154">
        <v>8.98</v>
      </c>
      <c r="Q154">
        <v>24.84</v>
      </c>
      <c r="R154">
        <v>33.659999999999997</v>
      </c>
      <c r="S154">
        <v>1.66</v>
      </c>
      <c r="T154">
        <v>2080</v>
      </c>
      <c r="U154">
        <v>1904</v>
      </c>
      <c r="V154">
        <v>1178</v>
      </c>
      <c r="W154">
        <v>1329</v>
      </c>
      <c r="X154">
        <v>6655</v>
      </c>
      <c r="Y154">
        <v>725</v>
      </c>
      <c r="Z154">
        <v>5540</v>
      </c>
      <c r="AA154">
        <v>2318</v>
      </c>
      <c r="AB154">
        <v>12.824</v>
      </c>
      <c r="AC154">
        <v>15238</v>
      </c>
      <c r="AD154">
        <v>0.68</v>
      </c>
      <c r="AE154" s="1">
        <v>0.40377993725610201</v>
      </c>
      <c r="AF154">
        <v>2.38886802470272E-2</v>
      </c>
      <c r="AG154">
        <v>2.4447615709598799E-2</v>
      </c>
      <c r="AH154">
        <v>33.660219568739898</v>
      </c>
      <c r="AI154">
        <v>0.56999999999999995</v>
      </c>
      <c r="AJ154">
        <v>25.44</v>
      </c>
    </row>
    <row r="155" spans="1:36" x14ac:dyDescent="0.25">
      <c r="A155">
        <v>5910</v>
      </c>
      <c r="B155">
        <v>4161</v>
      </c>
      <c r="C155">
        <v>2232</v>
      </c>
      <c r="D155">
        <v>5</v>
      </c>
      <c r="E155">
        <v>6</v>
      </c>
      <c r="F155">
        <v>7798</v>
      </c>
      <c r="G155">
        <v>6.33</v>
      </c>
      <c r="H155">
        <v>18.47</v>
      </c>
      <c r="I155">
        <v>6.94</v>
      </c>
      <c r="J155">
        <v>0.01</v>
      </c>
      <c r="K155">
        <v>0.01</v>
      </c>
      <c r="L155">
        <v>16.149999999999999</v>
      </c>
      <c r="M155">
        <v>12.93</v>
      </c>
      <c r="N155">
        <v>22.2</v>
      </c>
      <c r="O155">
        <v>12.86</v>
      </c>
      <c r="P155">
        <v>4.5</v>
      </c>
      <c r="Q155">
        <v>24.83</v>
      </c>
      <c r="R155">
        <v>21.54</v>
      </c>
      <c r="S155">
        <v>36.96</v>
      </c>
      <c r="T155">
        <v>2078</v>
      </c>
      <c r="U155">
        <v>1904</v>
      </c>
      <c r="V155">
        <v>754</v>
      </c>
      <c r="W155">
        <v>707</v>
      </c>
      <c r="X155">
        <v>8642</v>
      </c>
      <c r="Y155">
        <v>932</v>
      </c>
      <c r="Z155">
        <v>5431</v>
      </c>
      <c r="AA155">
        <v>2078</v>
      </c>
      <c r="AB155">
        <v>16.943000000000001</v>
      </c>
      <c r="AC155">
        <v>17083</v>
      </c>
      <c r="AD155">
        <v>0.34</v>
      </c>
      <c r="AE155" s="1">
        <v>0.57119902058305905</v>
      </c>
      <c r="AF155">
        <v>1.2699742643239999E-2</v>
      </c>
      <c r="AG155">
        <v>1.4746955816825599E-2</v>
      </c>
      <c r="AH155">
        <v>21.535222082071101</v>
      </c>
      <c r="AI155">
        <v>12.93</v>
      </c>
      <c r="AJ155">
        <v>22.2</v>
      </c>
    </row>
    <row r="156" spans="1:36" x14ac:dyDescent="0.25">
      <c r="A156">
        <v>13635</v>
      </c>
      <c r="B156">
        <v>2719</v>
      </c>
      <c r="C156">
        <v>1770</v>
      </c>
      <c r="D156">
        <v>3</v>
      </c>
      <c r="E156">
        <v>400</v>
      </c>
      <c r="F156">
        <v>11787</v>
      </c>
      <c r="G156">
        <v>14.61</v>
      </c>
      <c r="H156">
        <v>12.07</v>
      </c>
      <c r="I156">
        <v>5.5</v>
      </c>
      <c r="J156">
        <v>0.01</v>
      </c>
      <c r="K156">
        <v>0.83</v>
      </c>
      <c r="L156">
        <v>24.42</v>
      </c>
      <c r="M156">
        <v>8.4499999999999993</v>
      </c>
      <c r="N156">
        <v>17.600000000000001</v>
      </c>
      <c r="O156">
        <v>14.67</v>
      </c>
      <c r="P156">
        <v>9.6199999999999992</v>
      </c>
      <c r="Q156">
        <v>24.83</v>
      </c>
      <c r="R156">
        <v>32.549999999999997</v>
      </c>
      <c r="S156">
        <v>25.06</v>
      </c>
      <c r="T156">
        <v>2078</v>
      </c>
      <c r="U156">
        <v>1904</v>
      </c>
      <c r="V156">
        <v>1139</v>
      </c>
      <c r="W156">
        <v>553</v>
      </c>
      <c r="X156">
        <v>7849</v>
      </c>
      <c r="Y156">
        <v>976</v>
      </c>
      <c r="Z156">
        <v>5279</v>
      </c>
      <c r="AA156">
        <v>2817</v>
      </c>
      <c r="AB156">
        <v>13.372</v>
      </c>
      <c r="AC156">
        <v>16921</v>
      </c>
      <c r="AD156">
        <v>0.49</v>
      </c>
      <c r="AE156" s="1">
        <v>0.49399341954242798</v>
      </c>
      <c r="AF156">
        <v>8.5863981090855794E-3</v>
      </c>
      <c r="AG156">
        <v>0.92019667150074502</v>
      </c>
      <c r="AH156">
        <v>32.553897562023799</v>
      </c>
      <c r="AI156">
        <v>8.4499999999999993</v>
      </c>
      <c r="AJ156">
        <v>17.600000000000001</v>
      </c>
    </row>
    <row r="157" spans="1:36" x14ac:dyDescent="0.25">
      <c r="A157">
        <v>5609</v>
      </c>
      <c r="B157">
        <v>4979</v>
      </c>
      <c r="C157">
        <v>2879</v>
      </c>
      <c r="D157">
        <v>3</v>
      </c>
      <c r="E157">
        <v>244</v>
      </c>
      <c r="F157">
        <v>3231</v>
      </c>
      <c r="G157">
        <v>6.01</v>
      </c>
      <c r="H157">
        <v>22.1</v>
      </c>
      <c r="I157">
        <v>8.9499999999999993</v>
      </c>
      <c r="J157">
        <v>0.01</v>
      </c>
      <c r="K157">
        <v>0.51</v>
      </c>
      <c r="L157">
        <v>6.69</v>
      </c>
      <c r="M157">
        <v>15.47</v>
      </c>
      <c r="N157">
        <v>28.63</v>
      </c>
      <c r="O157">
        <v>11.99</v>
      </c>
      <c r="P157">
        <v>4.93</v>
      </c>
      <c r="Q157">
        <v>24.83</v>
      </c>
      <c r="R157">
        <v>8.92</v>
      </c>
      <c r="S157">
        <v>44.76</v>
      </c>
      <c r="T157">
        <v>2078</v>
      </c>
      <c r="U157">
        <v>1904</v>
      </c>
      <c r="V157">
        <v>312</v>
      </c>
      <c r="W157">
        <v>623</v>
      </c>
      <c r="X157">
        <v>8788</v>
      </c>
      <c r="Y157">
        <v>969</v>
      </c>
      <c r="Z157">
        <v>5645</v>
      </c>
      <c r="AA157">
        <v>2481</v>
      </c>
      <c r="AB157">
        <v>18.088000000000001</v>
      </c>
      <c r="AC157">
        <v>17883</v>
      </c>
      <c r="AD157">
        <v>0.32</v>
      </c>
      <c r="AE157" s="1">
        <v>0.62422526589639604</v>
      </c>
      <c r="AF157">
        <v>8.5808590330887207E-3</v>
      </c>
      <c r="AG157">
        <v>0.56213043872216195</v>
      </c>
      <c r="AH157">
        <v>8.9226363933756296</v>
      </c>
      <c r="AI157">
        <v>15.47</v>
      </c>
      <c r="AJ157">
        <v>28.63</v>
      </c>
    </row>
    <row r="158" spans="1:36" x14ac:dyDescent="0.25">
      <c r="A158">
        <v>7306</v>
      </c>
      <c r="B158">
        <v>650</v>
      </c>
      <c r="C158">
        <v>2422</v>
      </c>
      <c r="D158">
        <v>13</v>
      </c>
      <c r="E158">
        <v>294</v>
      </c>
      <c r="F158">
        <v>11858</v>
      </c>
      <c r="G158">
        <v>7.83</v>
      </c>
      <c r="H158">
        <v>2.88</v>
      </c>
      <c r="I158">
        <v>7.53</v>
      </c>
      <c r="J158">
        <v>0.03</v>
      </c>
      <c r="K158">
        <v>0.61</v>
      </c>
      <c r="L158">
        <v>24.56</v>
      </c>
      <c r="M158">
        <v>2.02</v>
      </c>
      <c r="N158">
        <v>24.08</v>
      </c>
      <c r="O158">
        <v>26.09</v>
      </c>
      <c r="P158">
        <v>3.05</v>
      </c>
      <c r="Q158">
        <v>24.85</v>
      </c>
      <c r="R158">
        <v>32.75</v>
      </c>
      <c r="S158">
        <v>6.44</v>
      </c>
      <c r="T158">
        <v>2081</v>
      </c>
      <c r="U158">
        <v>1904</v>
      </c>
      <c r="V158">
        <v>1146</v>
      </c>
      <c r="W158">
        <v>1636</v>
      </c>
      <c r="X158">
        <v>7343</v>
      </c>
      <c r="Y158">
        <v>622</v>
      </c>
      <c r="Z158">
        <v>5494</v>
      </c>
      <c r="AA158">
        <v>1280</v>
      </c>
      <c r="AB158">
        <v>15.787000000000001</v>
      </c>
      <c r="AC158">
        <v>14739</v>
      </c>
      <c r="AD158">
        <v>0.56000000000000005</v>
      </c>
      <c r="AE158" s="1">
        <v>0.439054250516489</v>
      </c>
      <c r="AF158">
        <v>3.2974728111581697E-2</v>
      </c>
      <c r="AG158">
        <v>0.67726325951949795</v>
      </c>
      <c r="AH158">
        <v>32.748011078370197</v>
      </c>
      <c r="AI158">
        <v>2.02</v>
      </c>
      <c r="AJ158">
        <v>24.08</v>
      </c>
    </row>
    <row r="159" spans="1:36" x14ac:dyDescent="0.25">
      <c r="A159">
        <v>6885</v>
      </c>
      <c r="B159">
        <v>4850</v>
      </c>
      <c r="C159">
        <v>2669</v>
      </c>
      <c r="D159">
        <v>14</v>
      </c>
      <c r="E159">
        <v>1</v>
      </c>
      <c r="F159">
        <v>4667</v>
      </c>
      <c r="G159">
        <v>7.38</v>
      </c>
      <c r="H159">
        <v>21.53</v>
      </c>
      <c r="I159">
        <v>8.2899999999999991</v>
      </c>
      <c r="J159">
        <v>0.03</v>
      </c>
      <c r="K159">
        <v>0</v>
      </c>
      <c r="L159">
        <v>9.67</v>
      </c>
      <c r="M159">
        <v>15.07</v>
      </c>
      <c r="N159">
        <v>26.54</v>
      </c>
      <c r="O159">
        <v>11.53</v>
      </c>
      <c r="P159">
        <v>5.92</v>
      </c>
      <c r="Q159">
        <v>24.86</v>
      </c>
      <c r="R159">
        <v>12.89</v>
      </c>
      <c r="S159">
        <v>43.05</v>
      </c>
      <c r="T159">
        <v>2082</v>
      </c>
      <c r="U159">
        <v>1904</v>
      </c>
      <c r="V159">
        <v>451</v>
      </c>
      <c r="W159">
        <v>541</v>
      </c>
      <c r="X159">
        <v>8702</v>
      </c>
      <c r="Y159">
        <v>993</v>
      </c>
      <c r="Z159">
        <v>5576</v>
      </c>
      <c r="AA159">
        <v>2577</v>
      </c>
      <c r="AB159">
        <v>17.247</v>
      </c>
      <c r="AC159">
        <v>17848</v>
      </c>
      <c r="AD159">
        <v>0.33</v>
      </c>
      <c r="AE159" s="1">
        <v>0.60785063891652003</v>
      </c>
      <c r="AF159">
        <v>3.5308787113356999E-2</v>
      </c>
      <c r="AG159">
        <v>1.8348285065744401E-3</v>
      </c>
      <c r="AH159">
        <v>12.888707989706701</v>
      </c>
      <c r="AI159">
        <v>15.07</v>
      </c>
      <c r="AJ159">
        <v>26.54</v>
      </c>
    </row>
    <row r="160" spans="1:36" x14ac:dyDescent="0.25">
      <c r="A160">
        <v>13301</v>
      </c>
      <c r="B160">
        <v>155</v>
      </c>
      <c r="C160">
        <v>2596</v>
      </c>
      <c r="D160">
        <v>5</v>
      </c>
      <c r="E160">
        <v>39</v>
      </c>
      <c r="F160">
        <v>12029</v>
      </c>
      <c r="G160">
        <v>14.25</v>
      </c>
      <c r="H160">
        <v>0.69</v>
      </c>
      <c r="I160">
        <v>8.07</v>
      </c>
      <c r="J160">
        <v>0.01</v>
      </c>
      <c r="K160">
        <v>0.08</v>
      </c>
      <c r="L160">
        <v>24.92</v>
      </c>
      <c r="M160">
        <v>0.48</v>
      </c>
      <c r="N160">
        <v>25.81</v>
      </c>
      <c r="O160">
        <v>26.87</v>
      </c>
      <c r="P160">
        <v>7.52</v>
      </c>
      <c r="Q160">
        <v>24.83</v>
      </c>
      <c r="R160">
        <v>33.22</v>
      </c>
      <c r="S160">
        <v>1.46</v>
      </c>
      <c r="T160">
        <v>2078</v>
      </c>
      <c r="U160">
        <v>1904</v>
      </c>
      <c r="V160">
        <v>1162</v>
      </c>
      <c r="W160">
        <v>1447</v>
      </c>
      <c r="X160">
        <v>6739</v>
      </c>
      <c r="Y160">
        <v>687</v>
      </c>
      <c r="Z160">
        <v>5552</v>
      </c>
      <c r="AA160">
        <v>2054</v>
      </c>
      <c r="AB160">
        <v>13.493</v>
      </c>
      <c r="AC160">
        <v>15032</v>
      </c>
      <c r="AD160">
        <v>0.66</v>
      </c>
      <c r="AE160" s="1">
        <v>0.406764098247761</v>
      </c>
      <c r="AF160">
        <v>1.3254466311882099E-2</v>
      </c>
      <c r="AG160">
        <v>8.9090962736764603E-2</v>
      </c>
      <c r="AH160">
        <v>33.220414597217101</v>
      </c>
      <c r="AI160">
        <v>0.48</v>
      </c>
      <c r="AJ160">
        <v>25.81</v>
      </c>
    </row>
    <row r="161" spans="1:36" x14ac:dyDescent="0.25">
      <c r="A161">
        <v>5850</v>
      </c>
      <c r="B161">
        <v>190</v>
      </c>
      <c r="C161">
        <v>2549</v>
      </c>
      <c r="D161">
        <v>3</v>
      </c>
      <c r="E161">
        <v>206</v>
      </c>
      <c r="F161">
        <v>12036</v>
      </c>
      <c r="G161">
        <v>6.27</v>
      </c>
      <c r="H161">
        <v>0.84</v>
      </c>
      <c r="I161">
        <v>7.92</v>
      </c>
      <c r="J161">
        <v>0.01</v>
      </c>
      <c r="K161">
        <v>0.43</v>
      </c>
      <c r="L161">
        <v>24.93</v>
      </c>
      <c r="M161">
        <v>0.59</v>
      </c>
      <c r="N161">
        <v>25.35</v>
      </c>
      <c r="O161">
        <v>29.07</v>
      </c>
      <c r="P161">
        <v>2.04</v>
      </c>
      <c r="Q161">
        <v>24.83</v>
      </c>
      <c r="R161">
        <v>33.24</v>
      </c>
      <c r="S161">
        <v>2.16</v>
      </c>
      <c r="T161">
        <v>2078</v>
      </c>
      <c r="U161">
        <v>1904</v>
      </c>
      <c r="V161">
        <v>1163</v>
      </c>
      <c r="W161">
        <v>1877</v>
      </c>
      <c r="X161">
        <v>7228</v>
      </c>
      <c r="Y161">
        <v>543</v>
      </c>
      <c r="Z161">
        <v>5536</v>
      </c>
      <c r="AA161">
        <v>935</v>
      </c>
      <c r="AB161">
        <v>16.285</v>
      </c>
      <c r="AC161">
        <v>14242</v>
      </c>
      <c r="AD161">
        <v>0.6</v>
      </c>
      <c r="AE161" s="1">
        <v>0.428954013313949</v>
      </c>
      <c r="AF161">
        <v>8.7569575890756E-3</v>
      </c>
      <c r="AG161">
        <v>0.47518271208616403</v>
      </c>
      <c r="AH161">
        <v>33.240250101646303</v>
      </c>
      <c r="AI161">
        <v>0.59</v>
      </c>
      <c r="AJ161">
        <v>25.35</v>
      </c>
    </row>
    <row r="162" spans="1:36" x14ac:dyDescent="0.25">
      <c r="A162">
        <v>6037</v>
      </c>
      <c r="B162">
        <v>2706</v>
      </c>
      <c r="C162">
        <v>1712</v>
      </c>
      <c r="D162">
        <v>8</v>
      </c>
      <c r="E162">
        <v>269</v>
      </c>
      <c r="F162">
        <v>12215</v>
      </c>
      <c r="G162">
        <v>6.47</v>
      </c>
      <c r="H162">
        <v>12.01</v>
      </c>
      <c r="I162">
        <v>5.32</v>
      </c>
      <c r="J162">
        <v>0.02</v>
      </c>
      <c r="K162">
        <v>0.56000000000000005</v>
      </c>
      <c r="L162">
        <v>25.3</v>
      </c>
      <c r="M162">
        <v>8.41</v>
      </c>
      <c r="N162">
        <v>17.02</v>
      </c>
      <c r="O162">
        <v>16.45</v>
      </c>
      <c r="P162">
        <v>3.39</v>
      </c>
      <c r="Q162">
        <v>24.84</v>
      </c>
      <c r="R162">
        <v>33.729999999999997</v>
      </c>
      <c r="S162">
        <v>24.64</v>
      </c>
      <c r="T162">
        <v>2079</v>
      </c>
      <c r="U162">
        <v>1904</v>
      </c>
      <c r="V162">
        <v>1180</v>
      </c>
      <c r="W162">
        <v>1002</v>
      </c>
      <c r="X162">
        <v>8306</v>
      </c>
      <c r="Y162">
        <v>826</v>
      </c>
      <c r="Z162">
        <v>5259</v>
      </c>
      <c r="AA162">
        <v>1679</v>
      </c>
      <c r="AB162">
        <v>16.056000000000001</v>
      </c>
      <c r="AC162">
        <v>16070</v>
      </c>
      <c r="AD162">
        <v>0.4</v>
      </c>
      <c r="AE162" s="1">
        <v>0.50447624148748904</v>
      </c>
      <c r="AF162">
        <v>2.0193878317631399E-2</v>
      </c>
      <c r="AG162">
        <v>0.61879965648509205</v>
      </c>
      <c r="AH162">
        <v>33.733342619973698</v>
      </c>
      <c r="AI162">
        <v>8.41</v>
      </c>
      <c r="AJ162">
        <v>17.02</v>
      </c>
    </row>
    <row r="163" spans="1:36" x14ac:dyDescent="0.25">
      <c r="A163">
        <v>6251</v>
      </c>
      <c r="B163">
        <v>71</v>
      </c>
      <c r="C163">
        <v>2597</v>
      </c>
      <c r="D163">
        <v>0</v>
      </c>
      <c r="E163">
        <v>44</v>
      </c>
      <c r="F163">
        <v>12152</v>
      </c>
      <c r="G163">
        <v>6.7</v>
      </c>
      <c r="H163">
        <v>0.31</v>
      </c>
      <c r="I163">
        <v>8.07</v>
      </c>
      <c r="J163">
        <v>0</v>
      </c>
      <c r="K163">
        <v>0.09</v>
      </c>
      <c r="L163">
        <v>25.17</v>
      </c>
      <c r="M163">
        <v>0.22</v>
      </c>
      <c r="N163">
        <v>25.82</v>
      </c>
      <c r="O163">
        <v>29.53</v>
      </c>
      <c r="P163">
        <v>2.25</v>
      </c>
      <c r="Q163">
        <v>24.82</v>
      </c>
      <c r="R163">
        <v>33.56</v>
      </c>
      <c r="S163">
        <v>0.73</v>
      </c>
      <c r="T163">
        <v>2077</v>
      </c>
      <c r="U163">
        <v>1904</v>
      </c>
      <c r="V163">
        <v>1174</v>
      </c>
      <c r="W163">
        <v>1895</v>
      </c>
      <c r="X163">
        <v>7134</v>
      </c>
      <c r="Y163">
        <v>538</v>
      </c>
      <c r="Z163">
        <v>5552</v>
      </c>
      <c r="AA163">
        <v>970</v>
      </c>
      <c r="AB163">
        <v>16.076000000000001</v>
      </c>
      <c r="AC163">
        <v>14194</v>
      </c>
      <c r="AD163">
        <v>0.61</v>
      </c>
      <c r="AE163" s="1">
        <v>0.42145535236054699</v>
      </c>
      <c r="AF163">
        <v>1.1983667968419899E-3</v>
      </c>
      <c r="AG163">
        <v>0.10154083039643901</v>
      </c>
      <c r="AH163">
        <v>33.561238224883098</v>
      </c>
      <c r="AI163">
        <v>0.22</v>
      </c>
      <c r="AJ163">
        <v>25.82</v>
      </c>
    </row>
    <row r="164" spans="1:36" x14ac:dyDescent="0.25">
      <c r="A164">
        <v>13924</v>
      </c>
      <c r="B164">
        <v>4063</v>
      </c>
      <c r="C164">
        <v>1354</v>
      </c>
      <c r="D164">
        <v>0</v>
      </c>
      <c r="E164">
        <v>7</v>
      </c>
      <c r="F164">
        <v>12167</v>
      </c>
      <c r="G164">
        <v>14.92</v>
      </c>
      <c r="H164">
        <v>18.03</v>
      </c>
      <c r="I164">
        <v>4.21</v>
      </c>
      <c r="J164">
        <v>0</v>
      </c>
      <c r="K164">
        <v>0.02</v>
      </c>
      <c r="L164">
        <v>25.2</v>
      </c>
      <c r="M164">
        <v>12.62</v>
      </c>
      <c r="N164">
        <v>13.46</v>
      </c>
      <c r="O164">
        <v>9.8800000000000008</v>
      </c>
      <c r="P164">
        <v>12.4</v>
      </c>
      <c r="Q164">
        <v>24.82</v>
      </c>
      <c r="R164">
        <v>33.6</v>
      </c>
      <c r="S164">
        <v>36.08</v>
      </c>
      <c r="T164">
        <v>2077</v>
      </c>
      <c r="U164">
        <v>1904</v>
      </c>
      <c r="V164">
        <v>1176</v>
      </c>
      <c r="W164">
        <v>80</v>
      </c>
      <c r="X164">
        <v>8361</v>
      </c>
      <c r="Y164">
        <v>1129</v>
      </c>
      <c r="Z164">
        <v>5141</v>
      </c>
      <c r="AA164">
        <v>3265</v>
      </c>
      <c r="AB164">
        <v>13.007999999999999</v>
      </c>
      <c r="AC164">
        <v>17896</v>
      </c>
      <c r="AD164">
        <v>0.46</v>
      </c>
      <c r="AE164" s="1">
        <v>0.54158696151197405</v>
      </c>
      <c r="AF164" s="15">
        <v>7.7595984365967099E-4</v>
      </c>
      <c r="AG164">
        <v>1.6773274156457699E-2</v>
      </c>
      <c r="AH164">
        <v>33.601097317053203</v>
      </c>
      <c r="AI164">
        <v>12.62</v>
      </c>
      <c r="AJ164">
        <v>13.46</v>
      </c>
    </row>
    <row r="165" spans="1:36" x14ac:dyDescent="0.25">
      <c r="A165">
        <v>12641</v>
      </c>
      <c r="B165">
        <v>1979</v>
      </c>
      <c r="C165">
        <v>2007</v>
      </c>
      <c r="D165">
        <v>3</v>
      </c>
      <c r="E165">
        <v>350</v>
      </c>
      <c r="F165">
        <v>11813</v>
      </c>
      <c r="G165">
        <v>13.54</v>
      </c>
      <c r="H165">
        <v>8.7799999999999994</v>
      </c>
      <c r="I165">
        <v>6.23</v>
      </c>
      <c r="J165">
        <v>0.01</v>
      </c>
      <c r="K165">
        <v>0.73</v>
      </c>
      <c r="L165">
        <v>24.47</v>
      </c>
      <c r="M165">
        <v>6.15</v>
      </c>
      <c r="N165">
        <v>19.95</v>
      </c>
      <c r="O165">
        <v>18.12</v>
      </c>
      <c r="P165">
        <v>7.99</v>
      </c>
      <c r="Q165">
        <v>24.83</v>
      </c>
      <c r="R165">
        <v>32.630000000000003</v>
      </c>
      <c r="S165">
        <v>18.37</v>
      </c>
      <c r="T165">
        <v>2078</v>
      </c>
      <c r="U165">
        <v>1904</v>
      </c>
      <c r="V165">
        <v>1142</v>
      </c>
      <c r="W165">
        <v>864</v>
      </c>
      <c r="X165">
        <v>7589</v>
      </c>
      <c r="Y165">
        <v>875</v>
      </c>
      <c r="Z165">
        <v>5356</v>
      </c>
      <c r="AA165">
        <v>2459</v>
      </c>
      <c r="AB165">
        <v>13.760999999999999</v>
      </c>
      <c r="AC165">
        <v>16279</v>
      </c>
      <c r="AD165">
        <v>0.52</v>
      </c>
      <c r="AE165" s="1">
        <v>0.46920192822710199</v>
      </c>
      <c r="AF165">
        <v>7.0338998664338298E-3</v>
      </c>
      <c r="AG165">
        <v>0.80626964493563502</v>
      </c>
      <c r="AH165">
        <v>32.625650123069903</v>
      </c>
      <c r="AI165">
        <v>6.15</v>
      </c>
      <c r="AJ165">
        <v>19.95</v>
      </c>
    </row>
    <row r="166" spans="1:36" x14ac:dyDescent="0.25">
      <c r="A166">
        <v>5765</v>
      </c>
      <c r="B166">
        <v>52</v>
      </c>
      <c r="C166">
        <v>2546</v>
      </c>
      <c r="D166">
        <v>1</v>
      </c>
      <c r="E166">
        <v>331</v>
      </c>
      <c r="F166">
        <v>12139</v>
      </c>
      <c r="G166">
        <v>6.18</v>
      </c>
      <c r="H166">
        <v>0.23</v>
      </c>
      <c r="I166">
        <v>7.91</v>
      </c>
      <c r="J166">
        <v>0</v>
      </c>
      <c r="K166">
        <v>0.69</v>
      </c>
      <c r="L166">
        <v>25.14</v>
      </c>
      <c r="M166">
        <v>0.16</v>
      </c>
      <c r="N166">
        <v>25.31</v>
      </c>
      <c r="O166">
        <v>29.69</v>
      </c>
      <c r="P166">
        <v>1.97</v>
      </c>
      <c r="Q166">
        <v>24.82</v>
      </c>
      <c r="R166">
        <v>33.520000000000003</v>
      </c>
      <c r="S166">
        <v>1.22</v>
      </c>
      <c r="T166">
        <v>2077</v>
      </c>
      <c r="U166">
        <v>1904</v>
      </c>
      <c r="V166">
        <v>1173</v>
      </c>
      <c r="W166">
        <v>1920</v>
      </c>
      <c r="X166">
        <v>7199</v>
      </c>
      <c r="Y166">
        <v>529</v>
      </c>
      <c r="Z166">
        <v>5535</v>
      </c>
      <c r="AA166">
        <v>877</v>
      </c>
      <c r="AB166">
        <v>16.329999999999998</v>
      </c>
      <c r="AC166">
        <v>14140</v>
      </c>
      <c r="AD166">
        <v>0.61</v>
      </c>
      <c r="AE166">
        <v>0.42642895401331399</v>
      </c>
      <c r="AF166">
        <v>1.5236437681847099E-3</v>
      </c>
      <c r="AG166">
        <v>0.76259486488435702</v>
      </c>
      <c r="AH166">
        <v>33.524329689344597</v>
      </c>
      <c r="AI166">
        <v>0.16</v>
      </c>
      <c r="AJ166">
        <v>25.31</v>
      </c>
    </row>
    <row r="167" spans="1:36" x14ac:dyDescent="0.25">
      <c r="A167">
        <v>13497</v>
      </c>
      <c r="B167">
        <v>3788</v>
      </c>
      <c r="C167">
        <v>1394</v>
      </c>
      <c r="D167">
        <v>1</v>
      </c>
      <c r="E167">
        <v>334</v>
      </c>
      <c r="F167">
        <v>12058</v>
      </c>
      <c r="G167">
        <v>14.46</v>
      </c>
      <c r="H167">
        <v>16.809999999999999</v>
      </c>
      <c r="I167">
        <v>4.33</v>
      </c>
      <c r="J167">
        <v>0</v>
      </c>
      <c r="K167">
        <v>0.69</v>
      </c>
      <c r="L167">
        <v>24.98</v>
      </c>
      <c r="M167">
        <v>11.77</v>
      </c>
      <c r="N167">
        <v>13.86</v>
      </c>
      <c r="O167">
        <v>10.64</v>
      </c>
      <c r="P167">
        <v>11.35</v>
      </c>
      <c r="Q167">
        <v>24.82</v>
      </c>
      <c r="R167">
        <v>33.299999999999997</v>
      </c>
      <c r="S167">
        <v>34.39</v>
      </c>
      <c r="T167">
        <v>2077</v>
      </c>
      <c r="U167">
        <v>1904</v>
      </c>
      <c r="V167">
        <v>1165</v>
      </c>
      <c r="W167">
        <v>190</v>
      </c>
      <c r="X167">
        <v>8315</v>
      </c>
      <c r="Y167">
        <v>1093</v>
      </c>
      <c r="Z167">
        <v>5155</v>
      </c>
      <c r="AA167">
        <v>3106</v>
      </c>
      <c r="AB167">
        <v>13.286</v>
      </c>
      <c r="AC167">
        <v>17669</v>
      </c>
      <c r="AD167">
        <v>0.45</v>
      </c>
      <c r="AE167">
        <v>0.53447088530109399</v>
      </c>
      <c r="AF167">
        <v>1.64554788123898E-3</v>
      </c>
      <c r="AG167">
        <v>0.76876791763371299</v>
      </c>
      <c r="AH167">
        <v>33.300208261924702</v>
      </c>
      <c r="AI167">
        <v>11.77</v>
      </c>
      <c r="AJ167">
        <v>13.86</v>
      </c>
    </row>
    <row r="168" spans="1:36" x14ac:dyDescent="0.25">
      <c r="A168">
        <v>6504</v>
      </c>
      <c r="B168">
        <v>326</v>
      </c>
      <c r="C168">
        <v>2498</v>
      </c>
      <c r="D168">
        <v>0</v>
      </c>
      <c r="E168">
        <v>186</v>
      </c>
      <c r="F168">
        <v>12102</v>
      </c>
      <c r="G168">
        <v>6.97</v>
      </c>
      <c r="H168">
        <v>1.45</v>
      </c>
      <c r="I168">
        <v>7.76</v>
      </c>
      <c r="J168">
        <v>0</v>
      </c>
      <c r="K168">
        <v>0.39</v>
      </c>
      <c r="L168">
        <v>25.07</v>
      </c>
      <c r="M168">
        <v>1.01</v>
      </c>
      <c r="N168">
        <v>24.83</v>
      </c>
      <c r="O168">
        <v>28.03</v>
      </c>
      <c r="P168">
        <v>2.46</v>
      </c>
      <c r="Q168">
        <v>24.82</v>
      </c>
      <c r="R168">
        <v>33.42</v>
      </c>
      <c r="S168">
        <v>3.32</v>
      </c>
      <c r="T168">
        <v>2077</v>
      </c>
      <c r="U168">
        <v>1904</v>
      </c>
      <c r="V168">
        <v>1170</v>
      </c>
      <c r="W168">
        <v>1790</v>
      </c>
      <c r="X168">
        <v>7246</v>
      </c>
      <c r="Y168">
        <v>572</v>
      </c>
      <c r="Z168">
        <v>5520</v>
      </c>
      <c r="AA168">
        <v>1073</v>
      </c>
      <c r="AB168">
        <v>16.015000000000001</v>
      </c>
      <c r="AC168">
        <v>14411</v>
      </c>
      <c r="AD168">
        <v>0.59</v>
      </c>
      <c r="AE168">
        <v>0.42979569974749399</v>
      </c>
      <c r="AF168">
        <v>1.1498378187799201E-3</v>
      </c>
      <c r="AG168">
        <v>0.42886132967672802</v>
      </c>
      <c r="AH168">
        <v>33.422219360532203</v>
      </c>
      <c r="AI168">
        <v>1.01</v>
      </c>
      <c r="AJ168">
        <v>24.83</v>
      </c>
    </row>
    <row r="169" spans="1:36" x14ac:dyDescent="0.25">
      <c r="A169">
        <v>6374</v>
      </c>
      <c r="B169">
        <v>2078</v>
      </c>
      <c r="C169">
        <v>1946</v>
      </c>
      <c r="D169">
        <v>1</v>
      </c>
      <c r="E169">
        <v>71</v>
      </c>
      <c r="F169">
        <v>12236</v>
      </c>
      <c r="G169">
        <v>6.83</v>
      </c>
      <c r="H169">
        <v>9.23</v>
      </c>
      <c r="I169">
        <v>6.05</v>
      </c>
      <c r="J169">
        <v>0</v>
      </c>
      <c r="K169">
        <v>0.15</v>
      </c>
      <c r="L169">
        <v>25.34</v>
      </c>
      <c r="M169">
        <v>6.46</v>
      </c>
      <c r="N169">
        <v>19.350000000000001</v>
      </c>
      <c r="O169">
        <v>19.309999999999999</v>
      </c>
      <c r="P169">
        <v>3.1</v>
      </c>
      <c r="Q169">
        <v>24.82</v>
      </c>
      <c r="R169">
        <v>33.79</v>
      </c>
      <c r="S169">
        <v>18.61</v>
      </c>
      <c r="T169">
        <v>2077</v>
      </c>
      <c r="U169">
        <v>1904</v>
      </c>
      <c r="V169">
        <v>1182</v>
      </c>
      <c r="W169">
        <v>1202</v>
      </c>
      <c r="X169">
        <v>7988</v>
      </c>
      <c r="Y169">
        <v>762</v>
      </c>
      <c r="Z169">
        <v>5337</v>
      </c>
      <c r="AA169">
        <v>1560</v>
      </c>
      <c r="AB169">
        <v>15.909000000000001</v>
      </c>
      <c r="AC169">
        <v>15647</v>
      </c>
      <c r="AD169">
        <v>0.45</v>
      </c>
      <c r="AE169">
        <v>0.48006733491468301</v>
      </c>
      <c r="AF169">
        <v>2.16028712586472E-3</v>
      </c>
      <c r="AG169">
        <v>0.16358040759600301</v>
      </c>
      <c r="AH169">
        <v>33.793028304449301</v>
      </c>
      <c r="AI169">
        <v>6.46</v>
      </c>
      <c r="AJ169">
        <v>19.350000000000001</v>
      </c>
    </row>
    <row r="170" spans="1:36" x14ac:dyDescent="0.25">
      <c r="A170">
        <v>6841</v>
      </c>
      <c r="B170">
        <v>51</v>
      </c>
      <c r="C170">
        <v>2546</v>
      </c>
      <c r="D170">
        <v>4</v>
      </c>
      <c r="E170">
        <v>328</v>
      </c>
      <c r="F170">
        <v>12140</v>
      </c>
      <c r="G170">
        <v>7.33</v>
      </c>
      <c r="H170">
        <v>0.23</v>
      </c>
      <c r="I170">
        <v>7.91</v>
      </c>
      <c r="J170">
        <v>0.01</v>
      </c>
      <c r="K170">
        <v>0.68</v>
      </c>
      <c r="L170">
        <v>25.15</v>
      </c>
      <c r="M170">
        <v>0.16</v>
      </c>
      <c r="N170">
        <v>25.31</v>
      </c>
      <c r="O170">
        <v>29.2</v>
      </c>
      <c r="P170">
        <v>2.62</v>
      </c>
      <c r="Q170">
        <v>24.83</v>
      </c>
      <c r="R170">
        <v>33.53</v>
      </c>
      <c r="S170">
        <v>1.21</v>
      </c>
      <c r="T170">
        <v>2078</v>
      </c>
      <c r="U170">
        <v>1904</v>
      </c>
      <c r="V170">
        <v>1173</v>
      </c>
      <c r="W170">
        <v>1855</v>
      </c>
      <c r="X170">
        <v>7135</v>
      </c>
      <c r="Y170">
        <v>550</v>
      </c>
      <c r="Z170">
        <v>5536</v>
      </c>
      <c r="AA170">
        <v>1039</v>
      </c>
      <c r="AB170">
        <v>15.933</v>
      </c>
      <c r="AC170">
        <v>14260</v>
      </c>
      <c r="AD170">
        <v>0.61</v>
      </c>
      <c r="AE170">
        <v>0.42267962353661298</v>
      </c>
      <c r="AF170">
        <v>1.0391969174642701E-2</v>
      </c>
      <c r="AG170">
        <v>0.75471190896750595</v>
      </c>
      <c r="AH170">
        <v>33.527613876556998</v>
      </c>
      <c r="AI170">
        <v>0.16</v>
      </c>
      <c r="AJ170">
        <v>25.31</v>
      </c>
    </row>
    <row r="171" spans="1:36" x14ac:dyDescent="0.25">
      <c r="A171">
        <v>8560</v>
      </c>
      <c r="B171">
        <v>2308</v>
      </c>
      <c r="C171">
        <v>1906</v>
      </c>
      <c r="D171">
        <v>1</v>
      </c>
      <c r="E171">
        <v>77</v>
      </c>
      <c r="F171">
        <v>12076</v>
      </c>
      <c r="G171">
        <v>9.17</v>
      </c>
      <c r="H171">
        <v>10.24</v>
      </c>
      <c r="I171">
        <v>5.92</v>
      </c>
      <c r="J171">
        <v>0</v>
      </c>
      <c r="K171">
        <v>0.16</v>
      </c>
      <c r="L171">
        <v>25.01</v>
      </c>
      <c r="M171">
        <v>7.17</v>
      </c>
      <c r="N171">
        <v>18.95</v>
      </c>
      <c r="O171">
        <v>17.600000000000001</v>
      </c>
      <c r="P171">
        <v>4.87</v>
      </c>
      <c r="Q171">
        <v>24.82</v>
      </c>
      <c r="R171">
        <v>33.35</v>
      </c>
      <c r="S171">
        <v>20.67</v>
      </c>
      <c r="T171">
        <v>2077</v>
      </c>
      <c r="U171">
        <v>1904</v>
      </c>
      <c r="V171">
        <v>1167</v>
      </c>
      <c r="W171">
        <v>999</v>
      </c>
      <c r="X171">
        <v>7945</v>
      </c>
      <c r="Y171">
        <v>829</v>
      </c>
      <c r="Z171">
        <v>5323</v>
      </c>
      <c r="AA171">
        <v>1954</v>
      </c>
      <c r="AB171">
        <v>15.125</v>
      </c>
      <c r="AC171">
        <v>16051</v>
      </c>
      <c r="AD171">
        <v>0.45</v>
      </c>
      <c r="AE171">
        <v>0.48274542811232601</v>
      </c>
      <c r="AF171">
        <v>2.4037487363172899E-3</v>
      </c>
      <c r="AG171">
        <v>0.17806732114632001</v>
      </c>
      <c r="AH171">
        <v>33.350811518079603</v>
      </c>
      <c r="AI171">
        <v>7.17</v>
      </c>
      <c r="AJ171">
        <v>18.95</v>
      </c>
    </row>
    <row r="172" spans="1:36" x14ac:dyDescent="0.25">
      <c r="A172">
        <v>6275</v>
      </c>
      <c r="B172">
        <v>2866</v>
      </c>
      <c r="C172">
        <v>1706</v>
      </c>
      <c r="D172">
        <v>13</v>
      </c>
      <c r="E172">
        <v>254</v>
      </c>
      <c r="F172">
        <v>12012</v>
      </c>
      <c r="G172">
        <v>6.72</v>
      </c>
      <c r="H172">
        <v>12.72</v>
      </c>
      <c r="I172">
        <v>5.3</v>
      </c>
      <c r="J172">
        <v>0.03</v>
      </c>
      <c r="K172">
        <v>0.53</v>
      </c>
      <c r="L172">
        <v>24.88</v>
      </c>
      <c r="M172">
        <v>8.91</v>
      </c>
      <c r="N172">
        <v>16.96</v>
      </c>
      <c r="O172">
        <v>15.76</v>
      </c>
      <c r="P172">
        <v>3.68</v>
      </c>
      <c r="Q172">
        <v>24.85</v>
      </c>
      <c r="R172">
        <v>33.17</v>
      </c>
      <c r="S172">
        <v>26.03</v>
      </c>
      <c r="T172">
        <v>2081</v>
      </c>
      <c r="U172">
        <v>1904</v>
      </c>
      <c r="V172">
        <v>1161</v>
      </c>
      <c r="W172">
        <v>942</v>
      </c>
      <c r="X172">
        <v>8348</v>
      </c>
      <c r="Y172">
        <v>846</v>
      </c>
      <c r="Z172">
        <v>5257</v>
      </c>
      <c r="AA172">
        <v>1761</v>
      </c>
      <c r="AB172">
        <v>16.003</v>
      </c>
      <c r="AC172">
        <v>16212</v>
      </c>
      <c r="AD172">
        <v>0.39</v>
      </c>
      <c r="AE172">
        <v>0.50990894483128002</v>
      </c>
      <c r="AF172">
        <v>3.4199585228982303E-2</v>
      </c>
      <c r="AG172">
        <v>0.58382799509819305</v>
      </c>
      <c r="AH172">
        <v>33.173115183952497</v>
      </c>
      <c r="AI172">
        <v>8.91</v>
      </c>
      <c r="AJ172">
        <v>16.96</v>
      </c>
    </row>
    <row r="173" spans="1:36" x14ac:dyDescent="0.25">
      <c r="A173">
        <v>14465</v>
      </c>
      <c r="B173">
        <v>3524</v>
      </c>
      <c r="C173">
        <v>1640</v>
      </c>
      <c r="D173">
        <v>4</v>
      </c>
      <c r="E173">
        <v>9</v>
      </c>
      <c r="F173">
        <v>11595</v>
      </c>
      <c r="G173">
        <v>15.5</v>
      </c>
      <c r="H173">
        <v>15.64</v>
      </c>
      <c r="I173">
        <v>5.0999999999999996</v>
      </c>
      <c r="J173">
        <v>0.01</v>
      </c>
      <c r="K173">
        <v>0.02</v>
      </c>
      <c r="L173">
        <v>24.02</v>
      </c>
      <c r="M173">
        <v>10.95</v>
      </c>
      <c r="N173">
        <v>16.309999999999999</v>
      </c>
      <c r="O173">
        <v>11.64</v>
      </c>
      <c r="P173">
        <v>11.46</v>
      </c>
      <c r="Q173">
        <v>24.83</v>
      </c>
      <c r="R173">
        <v>32.020000000000003</v>
      </c>
      <c r="S173">
        <v>31.31</v>
      </c>
      <c r="T173">
        <v>2078</v>
      </c>
      <c r="U173">
        <v>1904</v>
      </c>
      <c r="V173">
        <v>1120</v>
      </c>
      <c r="W173">
        <v>253</v>
      </c>
      <c r="X173">
        <v>8069</v>
      </c>
      <c r="Y173">
        <v>1075</v>
      </c>
      <c r="Z173">
        <v>5236</v>
      </c>
      <c r="AA173">
        <v>3190</v>
      </c>
      <c r="AB173">
        <v>12.968</v>
      </c>
      <c r="AC173">
        <v>17570</v>
      </c>
      <c r="AD173">
        <v>0.47</v>
      </c>
      <c r="AE173">
        <v>0.51863187696074597</v>
      </c>
      <c r="AF173">
        <v>9.0628585593977105E-3</v>
      </c>
      <c r="AG173">
        <v>2.0993848169885799E-2</v>
      </c>
      <c r="AH173">
        <v>32.021124609888702</v>
      </c>
      <c r="AI173">
        <v>10.95</v>
      </c>
      <c r="AJ173">
        <v>16.309999999999999</v>
      </c>
    </row>
    <row r="174" spans="1:36" x14ac:dyDescent="0.25">
      <c r="A174">
        <v>14997</v>
      </c>
      <c r="B174">
        <v>2727</v>
      </c>
      <c r="C174">
        <v>1780</v>
      </c>
      <c r="D174">
        <v>13</v>
      </c>
      <c r="E174">
        <v>8</v>
      </c>
      <c r="F174">
        <v>12109</v>
      </c>
      <c r="G174">
        <v>16.07</v>
      </c>
      <c r="H174">
        <v>12.11</v>
      </c>
      <c r="I174">
        <v>5.53</v>
      </c>
      <c r="J174">
        <v>0.03</v>
      </c>
      <c r="K174">
        <v>0.02</v>
      </c>
      <c r="L174">
        <v>25.08</v>
      </c>
      <c r="M174">
        <v>8.4700000000000006</v>
      </c>
      <c r="N174">
        <v>17.7</v>
      </c>
      <c r="O174">
        <v>14.45</v>
      </c>
      <c r="P174">
        <v>10.87</v>
      </c>
      <c r="Q174">
        <v>24.85</v>
      </c>
      <c r="R174">
        <v>33.44</v>
      </c>
      <c r="S174">
        <v>24.23</v>
      </c>
      <c r="T174">
        <v>2081</v>
      </c>
      <c r="U174">
        <v>1904</v>
      </c>
      <c r="V174">
        <v>1170</v>
      </c>
      <c r="W174">
        <v>470</v>
      </c>
      <c r="X174">
        <v>7731</v>
      </c>
      <c r="Y174">
        <v>1004</v>
      </c>
      <c r="Z174">
        <v>5283</v>
      </c>
      <c r="AA174">
        <v>3044</v>
      </c>
      <c r="AB174">
        <v>12.704000000000001</v>
      </c>
      <c r="AC174">
        <v>17062</v>
      </c>
      <c r="AD174">
        <v>0.51</v>
      </c>
      <c r="AE174">
        <v>0.48611217384650701</v>
      </c>
      <c r="AF174">
        <v>3.3689179997075401E-2</v>
      </c>
      <c r="AG174">
        <v>1.8321829406210001E-2</v>
      </c>
      <c r="AH174">
        <v>33.441975021879003</v>
      </c>
      <c r="AI174">
        <v>8.4700000000000006</v>
      </c>
      <c r="AJ174">
        <v>17.7</v>
      </c>
    </row>
    <row r="175" spans="1:36" x14ac:dyDescent="0.25">
      <c r="A175">
        <v>6094</v>
      </c>
      <c r="B175">
        <v>1146</v>
      </c>
      <c r="C175">
        <v>2360</v>
      </c>
      <c r="D175">
        <v>5</v>
      </c>
      <c r="E175">
        <v>4</v>
      </c>
      <c r="F175">
        <v>11710</v>
      </c>
      <c r="G175">
        <v>6.53</v>
      </c>
      <c r="H175">
        <v>5.09</v>
      </c>
      <c r="I175">
        <v>7.33</v>
      </c>
      <c r="J175">
        <v>0.01</v>
      </c>
      <c r="K175">
        <v>0.01</v>
      </c>
      <c r="L175">
        <v>24.25</v>
      </c>
      <c r="M175">
        <v>3.56</v>
      </c>
      <c r="N175">
        <v>23.46</v>
      </c>
      <c r="O175">
        <v>24.34</v>
      </c>
      <c r="P175">
        <v>2.41</v>
      </c>
      <c r="Q175">
        <v>24.83</v>
      </c>
      <c r="R175">
        <v>32.340000000000003</v>
      </c>
      <c r="S175">
        <v>10.19</v>
      </c>
      <c r="T175">
        <v>2078</v>
      </c>
      <c r="U175">
        <v>1904</v>
      </c>
      <c r="V175">
        <v>1132</v>
      </c>
      <c r="W175">
        <v>1559</v>
      </c>
      <c r="X175">
        <v>7570</v>
      </c>
      <c r="Y175">
        <v>647</v>
      </c>
      <c r="Z175">
        <v>5473</v>
      </c>
      <c r="AA175">
        <v>1254</v>
      </c>
      <c r="AB175">
        <v>16.166</v>
      </c>
      <c r="AC175">
        <v>14944</v>
      </c>
      <c r="AD175">
        <v>0.52</v>
      </c>
      <c r="AE175">
        <v>0.45420460632029902</v>
      </c>
      <c r="AF175">
        <v>1.3428045194972101E-2</v>
      </c>
      <c r="AG175">
        <v>9.8402854703955808E-3</v>
      </c>
      <c r="AH175">
        <v>32.339429960352398</v>
      </c>
      <c r="AI175">
        <v>3.56</v>
      </c>
      <c r="AJ175">
        <v>23.46</v>
      </c>
    </row>
    <row r="176" spans="1:36" x14ac:dyDescent="0.25">
      <c r="A176">
        <v>6777</v>
      </c>
      <c r="B176">
        <v>3064</v>
      </c>
      <c r="C176">
        <v>1642</v>
      </c>
      <c r="D176">
        <v>1</v>
      </c>
      <c r="E176">
        <v>184</v>
      </c>
      <c r="F176">
        <v>12103</v>
      </c>
      <c r="G176">
        <v>7.26</v>
      </c>
      <c r="H176">
        <v>13.6</v>
      </c>
      <c r="I176">
        <v>5.0999999999999996</v>
      </c>
      <c r="J176">
        <v>0</v>
      </c>
      <c r="K176">
        <v>0.38</v>
      </c>
      <c r="L176">
        <v>25.07</v>
      </c>
      <c r="M176">
        <v>9.52</v>
      </c>
      <c r="N176">
        <v>16.329999999999998</v>
      </c>
      <c r="O176">
        <v>14.72</v>
      </c>
      <c r="P176">
        <v>4.26</v>
      </c>
      <c r="Q176">
        <v>24.82</v>
      </c>
      <c r="R176">
        <v>33.43</v>
      </c>
      <c r="S176">
        <v>27.62</v>
      </c>
      <c r="T176">
        <v>2077</v>
      </c>
      <c r="U176">
        <v>1904</v>
      </c>
      <c r="V176">
        <v>1170</v>
      </c>
      <c r="W176">
        <v>845</v>
      </c>
      <c r="X176">
        <v>8392</v>
      </c>
      <c r="Y176">
        <v>878</v>
      </c>
      <c r="Z176">
        <v>5236</v>
      </c>
      <c r="AA176">
        <v>1897</v>
      </c>
      <c r="AB176">
        <v>15.763999999999999</v>
      </c>
      <c r="AC176">
        <v>16403</v>
      </c>
      <c r="AD176">
        <v>0.39</v>
      </c>
      <c r="AE176">
        <v>0.51388782615349204</v>
      </c>
      <c r="AF176">
        <v>3.3824682126201602E-3</v>
      </c>
      <c r="AG176">
        <v>0.42447359965311898</v>
      </c>
      <c r="AH176">
        <v>33.425103164140502</v>
      </c>
      <c r="AI176">
        <v>9.52</v>
      </c>
      <c r="AJ176">
        <v>16.329999999999998</v>
      </c>
    </row>
    <row r="177" spans="1:36" x14ac:dyDescent="0.25">
      <c r="A177">
        <v>9791</v>
      </c>
      <c r="B177">
        <v>3423</v>
      </c>
      <c r="C177">
        <v>1595</v>
      </c>
      <c r="D177">
        <v>0</v>
      </c>
      <c r="E177">
        <v>7</v>
      </c>
      <c r="F177">
        <v>11969</v>
      </c>
      <c r="G177">
        <v>10.49</v>
      </c>
      <c r="H177">
        <v>15.19</v>
      </c>
      <c r="I177">
        <v>4.96</v>
      </c>
      <c r="J177">
        <v>0</v>
      </c>
      <c r="K177">
        <v>0.02</v>
      </c>
      <c r="L177">
        <v>24.79</v>
      </c>
      <c r="M177">
        <v>10.63</v>
      </c>
      <c r="N177">
        <v>15.86</v>
      </c>
      <c r="O177">
        <v>12.64</v>
      </c>
      <c r="P177">
        <v>7.15</v>
      </c>
      <c r="Q177">
        <v>24.82</v>
      </c>
      <c r="R177">
        <v>33.049999999999997</v>
      </c>
      <c r="S177">
        <v>30.4</v>
      </c>
      <c r="T177">
        <v>2077</v>
      </c>
      <c r="U177">
        <v>1904</v>
      </c>
      <c r="V177">
        <v>1157</v>
      </c>
      <c r="W177">
        <v>554</v>
      </c>
      <c r="X177">
        <v>8327</v>
      </c>
      <c r="Y177">
        <v>974</v>
      </c>
      <c r="Z177">
        <v>5220</v>
      </c>
      <c r="AA177">
        <v>2460</v>
      </c>
      <c r="AB177">
        <v>14.616</v>
      </c>
      <c r="AC177">
        <v>16981</v>
      </c>
      <c r="AD177">
        <v>0.4</v>
      </c>
      <c r="AE177">
        <v>0.51924401254877905</v>
      </c>
      <c r="AF177" s="15">
        <v>6.2126327709105999E-4</v>
      </c>
      <c r="AG177">
        <v>1.6867075536651399E-2</v>
      </c>
      <c r="AH177">
        <v>33.054483630162501</v>
      </c>
      <c r="AI177">
        <v>10.63</v>
      </c>
      <c r="AJ177">
        <v>15.86</v>
      </c>
    </row>
    <row r="178" spans="1:36" x14ac:dyDescent="0.25">
      <c r="A178">
        <v>14601</v>
      </c>
      <c r="B178">
        <v>3761</v>
      </c>
      <c r="C178">
        <v>1518</v>
      </c>
      <c r="D178">
        <v>21</v>
      </c>
      <c r="E178">
        <v>13</v>
      </c>
      <c r="F178">
        <v>11807</v>
      </c>
      <c r="G178">
        <v>15.64</v>
      </c>
      <c r="H178">
        <v>16.690000000000001</v>
      </c>
      <c r="I178">
        <v>4.72</v>
      </c>
      <c r="J178">
        <v>0.04</v>
      </c>
      <c r="K178">
        <v>0.03</v>
      </c>
      <c r="L178">
        <v>24.46</v>
      </c>
      <c r="M178">
        <v>11.69</v>
      </c>
      <c r="N178">
        <v>15.09</v>
      </c>
      <c r="O178">
        <v>10.77</v>
      </c>
      <c r="P178">
        <v>12.17</v>
      </c>
      <c r="Q178">
        <v>24.87</v>
      </c>
      <c r="R178">
        <v>32.61</v>
      </c>
      <c r="S178">
        <v>33.42</v>
      </c>
      <c r="T178">
        <v>2084</v>
      </c>
      <c r="U178">
        <v>1904</v>
      </c>
      <c r="V178">
        <v>1141</v>
      </c>
      <c r="W178">
        <v>155</v>
      </c>
      <c r="X178">
        <v>8180</v>
      </c>
      <c r="Y178">
        <v>1106</v>
      </c>
      <c r="Z178">
        <v>5194</v>
      </c>
      <c r="AA178">
        <v>3278</v>
      </c>
      <c r="AB178">
        <v>12.866</v>
      </c>
      <c r="AC178">
        <v>17758</v>
      </c>
      <c r="AD178">
        <v>0.47</v>
      </c>
      <c r="AE178">
        <v>0.52842604636927004</v>
      </c>
      <c r="AF178">
        <v>5.42726245502754E-2</v>
      </c>
      <c r="AG178">
        <v>3.04787217854182E-2</v>
      </c>
      <c r="AH178">
        <v>32.6076425150818</v>
      </c>
      <c r="AI178">
        <v>11.69</v>
      </c>
      <c r="AJ178">
        <v>15.09</v>
      </c>
    </row>
    <row r="179" spans="1:36" x14ac:dyDescent="0.25">
      <c r="A179">
        <v>5634</v>
      </c>
      <c r="B179">
        <v>2887</v>
      </c>
      <c r="C179">
        <v>2115</v>
      </c>
      <c r="D179">
        <v>5</v>
      </c>
      <c r="E179">
        <v>326</v>
      </c>
      <c r="F179">
        <v>9954</v>
      </c>
      <c r="G179">
        <v>6.04</v>
      </c>
      <c r="H179">
        <v>12.81</v>
      </c>
      <c r="I179">
        <v>6.57</v>
      </c>
      <c r="J179">
        <v>0.01</v>
      </c>
      <c r="K179">
        <v>0.68</v>
      </c>
      <c r="L179">
        <v>20.62</v>
      </c>
      <c r="M179">
        <v>8.9700000000000006</v>
      </c>
      <c r="N179">
        <v>21.03</v>
      </c>
      <c r="O179">
        <v>16.989999999999998</v>
      </c>
      <c r="P179">
        <v>3.05</v>
      </c>
      <c r="Q179">
        <v>24.83</v>
      </c>
      <c r="R179">
        <v>27.49</v>
      </c>
      <c r="S179">
        <v>26.37</v>
      </c>
      <c r="T179">
        <v>2078</v>
      </c>
      <c r="U179">
        <v>1904</v>
      </c>
      <c r="V179">
        <v>962</v>
      </c>
      <c r="W179">
        <v>1055</v>
      </c>
      <c r="X179">
        <v>8289</v>
      </c>
      <c r="Y179">
        <v>814</v>
      </c>
      <c r="Z179">
        <v>5392</v>
      </c>
      <c r="AA179">
        <v>1660</v>
      </c>
      <c r="AB179">
        <v>16.712</v>
      </c>
      <c r="AC179">
        <v>16155</v>
      </c>
      <c r="AD179">
        <v>0.39</v>
      </c>
      <c r="AE179">
        <v>0.52176907184941401</v>
      </c>
      <c r="AF179">
        <v>1.2965560814592599E-2</v>
      </c>
      <c r="AG179">
        <v>0.75012326179739597</v>
      </c>
      <c r="AH179">
        <v>27.489286061510999</v>
      </c>
      <c r="AI179">
        <v>8.9700000000000006</v>
      </c>
      <c r="AJ179">
        <v>21.03</v>
      </c>
    </row>
    <row r="180" spans="1:36" x14ac:dyDescent="0.25">
      <c r="A180">
        <v>6885</v>
      </c>
      <c r="B180">
        <v>4964</v>
      </c>
      <c r="C180">
        <v>2669</v>
      </c>
      <c r="D180">
        <v>5</v>
      </c>
      <c r="E180">
        <v>9</v>
      </c>
      <c r="F180">
        <v>4496</v>
      </c>
      <c r="G180">
        <v>7.38</v>
      </c>
      <c r="H180">
        <v>22.03</v>
      </c>
      <c r="I180">
        <v>8.2899999999999991</v>
      </c>
      <c r="J180">
        <v>0.01</v>
      </c>
      <c r="K180">
        <v>0.02</v>
      </c>
      <c r="L180">
        <v>9.31</v>
      </c>
      <c r="M180">
        <v>15.42</v>
      </c>
      <c r="N180">
        <v>26.54</v>
      </c>
      <c r="O180">
        <v>11.25</v>
      </c>
      <c r="P180">
        <v>6.14</v>
      </c>
      <c r="Q180">
        <v>24.83</v>
      </c>
      <c r="R180">
        <v>12.42</v>
      </c>
      <c r="S180">
        <v>44.09</v>
      </c>
      <c r="T180">
        <v>2078</v>
      </c>
      <c r="U180">
        <v>1904</v>
      </c>
      <c r="V180">
        <v>435</v>
      </c>
      <c r="W180">
        <v>510</v>
      </c>
      <c r="X180">
        <v>8739</v>
      </c>
      <c r="Y180">
        <v>1004</v>
      </c>
      <c r="Z180">
        <v>5576</v>
      </c>
      <c r="AA180">
        <v>2618</v>
      </c>
      <c r="AB180">
        <v>17.277000000000001</v>
      </c>
      <c r="AC180">
        <v>17937</v>
      </c>
      <c r="AD180">
        <v>0.33</v>
      </c>
      <c r="AE180">
        <v>0.61343637615731805</v>
      </c>
      <c r="AF180">
        <v>1.3279395893256401E-2</v>
      </c>
      <c r="AG180">
        <v>1.9581681084533901E-2</v>
      </c>
      <c r="AH180">
        <v>12.417337415476201</v>
      </c>
      <c r="AI180">
        <v>15.42</v>
      </c>
      <c r="AJ180">
        <v>26.54</v>
      </c>
    </row>
    <row r="181" spans="1:36" x14ac:dyDescent="0.25">
      <c r="A181">
        <v>14992</v>
      </c>
      <c r="B181">
        <v>7112</v>
      </c>
      <c r="C181">
        <v>375</v>
      </c>
      <c r="D181">
        <v>8</v>
      </c>
      <c r="E181">
        <v>44</v>
      </c>
      <c r="F181">
        <v>12250</v>
      </c>
      <c r="G181">
        <v>16.059999999999999</v>
      </c>
      <c r="H181">
        <v>31.57</v>
      </c>
      <c r="I181">
        <v>1.1599999999999999</v>
      </c>
      <c r="J181">
        <v>0.02</v>
      </c>
      <c r="K181">
        <v>0.09</v>
      </c>
      <c r="L181">
        <v>25.37</v>
      </c>
      <c r="M181">
        <v>22.1</v>
      </c>
      <c r="N181">
        <v>3.73</v>
      </c>
      <c r="O181">
        <v>5.23</v>
      </c>
      <c r="P181">
        <v>25.48</v>
      </c>
      <c r="Q181">
        <v>24.84</v>
      </c>
      <c r="R181">
        <v>33.83</v>
      </c>
      <c r="S181">
        <v>63.23</v>
      </c>
      <c r="T181">
        <v>2079</v>
      </c>
      <c r="U181">
        <v>1904</v>
      </c>
      <c r="V181">
        <v>1184</v>
      </c>
      <c r="W181">
        <v>-1023</v>
      </c>
      <c r="X181">
        <v>9603</v>
      </c>
      <c r="Y181">
        <v>1487</v>
      </c>
      <c r="Z181">
        <v>4817</v>
      </c>
      <c r="AA181">
        <v>4294</v>
      </c>
      <c r="AB181">
        <v>12.44</v>
      </c>
      <c r="AC181">
        <v>20201</v>
      </c>
      <c r="AD181">
        <v>0.68</v>
      </c>
      <c r="AE181">
        <v>0.71390312954319302</v>
      </c>
      <c r="AF181">
        <v>1.9851908228343498E-2</v>
      </c>
      <c r="AG181">
        <v>0.10065977404132501</v>
      </c>
      <c r="AH181">
        <v>33.830623456845103</v>
      </c>
      <c r="AI181">
        <v>22.1</v>
      </c>
      <c r="AJ181">
        <v>3.73</v>
      </c>
    </row>
    <row r="182" spans="1:36" x14ac:dyDescent="0.25">
      <c r="A182">
        <v>7090</v>
      </c>
      <c r="B182">
        <v>5051</v>
      </c>
      <c r="C182">
        <v>2765</v>
      </c>
      <c r="D182">
        <v>5</v>
      </c>
      <c r="E182">
        <v>6</v>
      </c>
      <c r="F182">
        <v>3908</v>
      </c>
      <c r="G182">
        <v>7.6</v>
      </c>
      <c r="H182">
        <v>22.42</v>
      </c>
      <c r="I182">
        <v>8.59</v>
      </c>
      <c r="J182">
        <v>0.01</v>
      </c>
      <c r="K182">
        <v>0.01</v>
      </c>
      <c r="L182">
        <v>8.09</v>
      </c>
      <c r="M182">
        <v>15.69</v>
      </c>
      <c r="N182">
        <v>27.49</v>
      </c>
      <c r="O182">
        <v>11.14</v>
      </c>
      <c r="P182">
        <v>6.34</v>
      </c>
      <c r="Q182">
        <v>24.83</v>
      </c>
      <c r="R182">
        <v>10.79</v>
      </c>
      <c r="S182">
        <v>44.85</v>
      </c>
      <c r="T182">
        <v>2079</v>
      </c>
      <c r="U182">
        <v>1904</v>
      </c>
      <c r="V182">
        <v>378</v>
      </c>
      <c r="W182">
        <v>492</v>
      </c>
      <c r="X182">
        <v>8730</v>
      </c>
      <c r="Y182">
        <v>1011</v>
      </c>
      <c r="Z182">
        <v>5608</v>
      </c>
      <c r="AA182">
        <v>2703</v>
      </c>
      <c r="AB182">
        <v>17.327999999999999</v>
      </c>
      <c r="AC182">
        <v>18052</v>
      </c>
      <c r="AD182">
        <v>0.33</v>
      </c>
      <c r="AE182">
        <v>0.618409977810084</v>
      </c>
      <c r="AF182">
        <v>1.41085138734588E-2</v>
      </c>
      <c r="AG182">
        <v>1.3963635835084301E-2</v>
      </c>
      <c r="AH182">
        <v>10.792540609663099</v>
      </c>
      <c r="AI182">
        <v>15.69</v>
      </c>
      <c r="AJ182">
        <v>27.49</v>
      </c>
    </row>
    <row r="183" spans="1:36" x14ac:dyDescent="0.25">
      <c r="A183">
        <v>5619</v>
      </c>
      <c r="B183">
        <v>3686</v>
      </c>
      <c r="C183">
        <v>1865</v>
      </c>
      <c r="D183">
        <v>5</v>
      </c>
      <c r="E183">
        <v>329</v>
      </c>
      <c r="F183">
        <v>9950</v>
      </c>
      <c r="G183">
        <v>6.02</v>
      </c>
      <c r="H183">
        <v>16.36</v>
      </c>
      <c r="I183">
        <v>5.8</v>
      </c>
      <c r="J183">
        <v>0.01</v>
      </c>
      <c r="K183">
        <v>0.68</v>
      </c>
      <c r="L183">
        <v>20.61</v>
      </c>
      <c r="M183">
        <v>11.45</v>
      </c>
      <c r="N183">
        <v>18.55</v>
      </c>
      <c r="O183">
        <v>13.61</v>
      </c>
      <c r="P183">
        <v>3.97</v>
      </c>
      <c r="Q183">
        <v>24.83</v>
      </c>
      <c r="R183">
        <v>27.48</v>
      </c>
      <c r="S183">
        <v>33.479999999999997</v>
      </c>
      <c r="T183">
        <v>2078</v>
      </c>
      <c r="U183">
        <v>1904</v>
      </c>
      <c r="V183">
        <v>962</v>
      </c>
      <c r="W183">
        <v>785</v>
      </c>
      <c r="X183">
        <v>8629</v>
      </c>
      <c r="Y183">
        <v>901</v>
      </c>
      <c r="Z183">
        <v>5310</v>
      </c>
      <c r="AA183">
        <v>1885</v>
      </c>
      <c r="AB183">
        <v>16.675999999999998</v>
      </c>
      <c r="AC183">
        <v>16725</v>
      </c>
      <c r="AD183">
        <v>0.35</v>
      </c>
      <c r="AE183">
        <v>0.55030989364144101</v>
      </c>
      <c r="AF183">
        <v>1.2965560814592599E-2</v>
      </c>
      <c r="AG183">
        <v>0.75772394170262103</v>
      </c>
      <c r="AH183">
        <v>27.480165245624701</v>
      </c>
      <c r="AI183">
        <v>11.45</v>
      </c>
      <c r="AJ183">
        <v>18.55</v>
      </c>
    </row>
    <row r="184" spans="1:36" x14ac:dyDescent="0.25">
      <c r="A184">
        <v>5900</v>
      </c>
      <c r="B184">
        <v>1137</v>
      </c>
      <c r="C184">
        <v>2294</v>
      </c>
      <c r="D184">
        <v>20</v>
      </c>
      <c r="E184">
        <v>91</v>
      </c>
      <c r="F184">
        <v>11941</v>
      </c>
      <c r="G184">
        <v>6.32</v>
      </c>
      <c r="H184">
        <v>5.05</v>
      </c>
      <c r="I184">
        <v>7.13</v>
      </c>
      <c r="J184">
        <v>0.04</v>
      </c>
      <c r="K184">
        <v>0.19</v>
      </c>
      <c r="L184">
        <v>24.73</v>
      </c>
      <c r="M184">
        <v>3.53</v>
      </c>
      <c r="N184">
        <v>22.8</v>
      </c>
      <c r="O184">
        <v>24.28</v>
      </c>
      <c r="P184">
        <v>2.2999999999999998</v>
      </c>
      <c r="Q184">
        <v>24.87</v>
      </c>
      <c r="R184">
        <v>32.979999999999997</v>
      </c>
      <c r="S184">
        <v>10.3</v>
      </c>
      <c r="T184">
        <v>2084</v>
      </c>
      <c r="U184">
        <v>1904</v>
      </c>
      <c r="V184">
        <v>1154</v>
      </c>
      <c r="W184">
        <v>1561</v>
      </c>
      <c r="X184">
        <v>7610</v>
      </c>
      <c r="Y184">
        <v>646</v>
      </c>
      <c r="Z184">
        <v>5452</v>
      </c>
      <c r="AA184">
        <v>1218</v>
      </c>
      <c r="AB184">
        <v>16.215</v>
      </c>
      <c r="AC184">
        <v>14926</v>
      </c>
      <c r="AD184">
        <v>0.52</v>
      </c>
      <c r="AE184">
        <v>0.45489325885683601</v>
      </c>
      <c r="AF184">
        <v>5.3018537596790601E-2</v>
      </c>
      <c r="AG184">
        <v>0.210183912543286</v>
      </c>
      <c r="AH184">
        <v>32.977990045874598</v>
      </c>
      <c r="AI184">
        <v>3.53</v>
      </c>
      <c r="AJ184">
        <v>22.8</v>
      </c>
    </row>
    <row r="185" spans="1:36" x14ac:dyDescent="0.25">
      <c r="A185">
        <v>6108</v>
      </c>
      <c r="B185">
        <v>1152</v>
      </c>
      <c r="C185">
        <v>2289</v>
      </c>
      <c r="D185">
        <v>11</v>
      </c>
      <c r="E185">
        <v>196</v>
      </c>
      <c r="F185">
        <v>11845</v>
      </c>
      <c r="G185">
        <v>6.54</v>
      </c>
      <c r="H185">
        <v>5.1100000000000003</v>
      </c>
      <c r="I185">
        <v>7.11</v>
      </c>
      <c r="J185">
        <v>0.02</v>
      </c>
      <c r="K185">
        <v>0.41</v>
      </c>
      <c r="L185">
        <v>24.54</v>
      </c>
      <c r="M185">
        <v>3.58</v>
      </c>
      <c r="N185">
        <v>22.76</v>
      </c>
      <c r="O185">
        <v>24.11</v>
      </c>
      <c r="P185">
        <v>2.4300000000000002</v>
      </c>
      <c r="Q185">
        <v>24.85</v>
      </c>
      <c r="R185">
        <v>32.71</v>
      </c>
      <c r="S185">
        <v>10.68</v>
      </c>
      <c r="T185">
        <v>2081</v>
      </c>
      <c r="U185">
        <v>1904</v>
      </c>
      <c r="V185">
        <v>1145</v>
      </c>
      <c r="W185">
        <v>1543</v>
      </c>
      <c r="X185">
        <v>7611</v>
      </c>
      <c r="Y185">
        <v>652</v>
      </c>
      <c r="Z185">
        <v>5450</v>
      </c>
      <c r="AA185">
        <v>1248</v>
      </c>
      <c r="AB185">
        <v>16.181000000000001</v>
      </c>
      <c r="AC185">
        <v>14961</v>
      </c>
      <c r="AD185">
        <v>0.52</v>
      </c>
      <c r="AE185">
        <v>0.45634708087841402</v>
      </c>
      <c r="AF185">
        <v>2.8700361220578799E-2</v>
      </c>
      <c r="AG185">
        <v>0.45194771602655298</v>
      </c>
      <c r="AH185">
        <v>32.713812869829297</v>
      </c>
      <c r="AI185">
        <v>3.58</v>
      </c>
      <c r="AJ185">
        <v>22.76</v>
      </c>
    </row>
    <row r="186" spans="1:36" x14ac:dyDescent="0.25">
      <c r="A186">
        <v>14999</v>
      </c>
      <c r="B186">
        <v>4811</v>
      </c>
      <c r="C186">
        <v>1087</v>
      </c>
      <c r="D186">
        <v>9</v>
      </c>
      <c r="E186">
        <v>75</v>
      </c>
      <c r="F186">
        <v>12250</v>
      </c>
      <c r="G186">
        <v>16.07</v>
      </c>
      <c r="H186">
        <v>21.36</v>
      </c>
      <c r="I186">
        <v>3.38</v>
      </c>
      <c r="J186">
        <v>0.02</v>
      </c>
      <c r="K186">
        <v>0.16</v>
      </c>
      <c r="L186">
        <v>25.37</v>
      </c>
      <c r="M186">
        <v>14.95</v>
      </c>
      <c r="N186">
        <v>10.8</v>
      </c>
      <c r="O186">
        <v>7.99</v>
      </c>
      <c r="P186">
        <v>15.81</v>
      </c>
      <c r="Q186">
        <v>24.84</v>
      </c>
      <c r="R186">
        <v>33.83</v>
      </c>
      <c r="S186">
        <v>42.88</v>
      </c>
      <c r="T186">
        <v>2080</v>
      </c>
      <c r="U186">
        <v>1904</v>
      </c>
      <c r="V186">
        <v>1184</v>
      </c>
      <c r="W186">
        <v>-245</v>
      </c>
      <c r="X186">
        <v>8632</v>
      </c>
      <c r="Y186">
        <v>1235</v>
      </c>
      <c r="Z186">
        <v>5054</v>
      </c>
      <c r="AA186">
        <v>3638</v>
      </c>
      <c r="AB186">
        <v>12.571999999999999</v>
      </c>
      <c r="AC186">
        <v>18559</v>
      </c>
      <c r="AD186">
        <v>0.5</v>
      </c>
      <c r="AE186">
        <v>0.57930981712449303</v>
      </c>
      <c r="AF186">
        <v>2.4426394040397099E-2</v>
      </c>
      <c r="AG186">
        <v>0.17350876047309199</v>
      </c>
      <c r="AH186">
        <v>33.829982887579199</v>
      </c>
      <c r="AI186">
        <v>14.95</v>
      </c>
      <c r="AJ186">
        <v>10.8</v>
      </c>
    </row>
    <row r="187" spans="1:36" x14ac:dyDescent="0.25">
      <c r="A187">
        <v>12597</v>
      </c>
      <c r="B187">
        <v>1395</v>
      </c>
      <c r="C187">
        <v>2116</v>
      </c>
      <c r="D187">
        <v>5</v>
      </c>
      <c r="E187">
        <v>367</v>
      </c>
      <c r="F187">
        <v>12145</v>
      </c>
      <c r="G187">
        <v>13.5</v>
      </c>
      <c r="H187">
        <v>6.19</v>
      </c>
      <c r="I187">
        <v>6.58</v>
      </c>
      <c r="J187">
        <v>0.01</v>
      </c>
      <c r="K187">
        <v>0.76</v>
      </c>
      <c r="L187">
        <v>25.16</v>
      </c>
      <c r="M187">
        <v>4.33</v>
      </c>
      <c r="N187">
        <v>21.04</v>
      </c>
      <c r="O187">
        <v>20.66</v>
      </c>
      <c r="P187">
        <v>7.55</v>
      </c>
      <c r="Q187">
        <v>24.83</v>
      </c>
      <c r="R187">
        <v>33.54</v>
      </c>
      <c r="S187">
        <v>13.23</v>
      </c>
      <c r="T187">
        <v>2078</v>
      </c>
      <c r="U187">
        <v>1904</v>
      </c>
      <c r="V187">
        <v>1174</v>
      </c>
      <c r="W187">
        <v>1051</v>
      </c>
      <c r="X187">
        <v>7366</v>
      </c>
      <c r="Y187">
        <v>814</v>
      </c>
      <c r="Z187">
        <v>5393</v>
      </c>
      <c r="AA187">
        <v>2286</v>
      </c>
      <c r="AB187">
        <v>13.741</v>
      </c>
      <c r="AC187">
        <v>15859</v>
      </c>
      <c r="AD187">
        <v>0.56000000000000005</v>
      </c>
      <c r="AE187">
        <v>0.44930752161603699</v>
      </c>
      <c r="AF187">
        <v>1.3414879327356299E-2</v>
      </c>
      <c r="AG187">
        <v>0.84423467291833498</v>
      </c>
      <c r="AH187">
        <v>33.540283428058203</v>
      </c>
      <c r="AI187">
        <v>4.33</v>
      </c>
      <c r="AJ187">
        <v>21.04</v>
      </c>
    </row>
    <row r="188" spans="1:36" x14ac:dyDescent="0.25">
      <c r="A188">
        <v>6885</v>
      </c>
      <c r="B188">
        <v>179</v>
      </c>
      <c r="C188">
        <v>2674</v>
      </c>
      <c r="D188">
        <v>5</v>
      </c>
      <c r="E188">
        <v>163</v>
      </c>
      <c r="F188">
        <v>11494</v>
      </c>
      <c r="G188">
        <v>7.38</v>
      </c>
      <c r="H188">
        <v>0.79</v>
      </c>
      <c r="I188">
        <v>8.31</v>
      </c>
      <c r="J188">
        <v>0.01</v>
      </c>
      <c r="K188">
        <v>0.34</v>
      </c>
      <c r="L188">
        <v>23.81</v>
      </c>
      <c r="M188">
        <v>0.56000000000000005</v>
      </c>
      <c r="N188">
        <v>26.59</v>
      </c>
      <c r="O188">
        <v>29.01</v>
      </c>
      <c r="P188">
        <v>2.66</v>
      </c>
      <c r="Q188">
        <v>24.83</v>
      </c>
      <c r="R188">
        <v>31.74</v>
      </c>
      <c r="S188">
        <v>1.96</v>
      </c>
      <c r="T188">
        <v>2078</v>
      </c>
      <c r="U188">
        <v>1904</v>
      </c>
      <c r="V188">
        <v>1111</v>
      </c>
      <c r="W188">
        <v>1842</v>
      </c>
      <c r="X188">
        <v>7125</v>
      </c>
      <c r="Y188">
        <v>557</v>
      </c>
      <c r="Z188">
        <v>5576</v>
      </c>
      <c r="AA188">
        <v>1087</v>
      </c>
      <c r="AB188">
        <v>16.013999999999999</v>
      </c>
      <c r="AC188">
        <v>14345</v>
      </c>
      <c r="AD188">
        <v>0.6</v>
      </c>
      <c r="AE188">
        <v>0.42696457265284199</v>
      </c>
      <c r="AF188">
        <v>1.3279395893256401E-2</v>
      </c>
      <c r="AG188">
        <v>0.37509432084171002</v>
      </c>
      <c r="AH188">
        <v>31.744304779786201</v>
      </c>
      <c r="AI188">
        <v>0.56000000000000005</v>
      </c>
      <c r="AJ188">
        <v>26.59</v>
      </c>
    </row>
    <row r="189" spans="1:36" x14ac:dyDescent="0.25">
      <c r="A189">
        <v>5859</v>
      </c>
      <c r="B189">
        <v>3618</v>
      </c>
      <c r="C189">
        <v>1497</v>
      </c>
      <c r="D189">
        <v>21</v>
      </c>
      <c r="E189">
        <v>186</v>
      </c>
      <c r="F189">
        <v>11948</v>
      </c>
      <c r="G189">
        <v>6.28</v>
      </c>
      <c r="H189">
        <v>16.059999999999999</v>
      </c>
      <c r="I189">
        <v>4.6500000000000004</v>
      </c>
      <c r="J189">
        <v>0.04</v>
      </c>
      <c r="K189">
        <v>0.39</v>
      </c>
      <c r="L189">
        <v>24.75</v>
      </c>
      <c r="M189">
        <v>11.24</v>
      </c>
      <c r="N189">
        <v>14.88</v>
      </c>
      <c r="O189">
        <v>12.95</v>
      </c>
      <c r="P189">
        <v>4.42</v>
      </c>
      <c r="Q189">
        <v>24.87</v>
      </c>
      <c r="R189">
        <v>33</v>
      </c>
      <c r="S189">
        <v>32.549999999999997</v>
      </c>
      <c r="T189">
        <v>2084</v>
      </c>
      <c r="U189">
        <v>1904</v>
      </c>
      <c r="V189">
        <v>1155</v>
      </c>
      <c r="W189">
        <v>718</v>
      </c>
      <c r="X189">
        <v>8681</v>
      </c>
      <c r="Y189">
        <v>919</v>
      </c>
      <c r="Z189">
        <v>5188</v>
      </c>
      <c r="AA189">
        <v>1916</v>
      </c>
      <c r="AB189">
        <v>16.117000000000001</v>
      </c>
      <c r="AC189">
        <v>16704</v>
      </c>
      <c r="AD189">
        <v>0.36</v>
      </c>
      <c r="AE189">
        <v>0.53844976662330701</v>
      </c>
      <c r="AF189">
        <v>5.4875826567374601E-2</v>
      </c>
      <c r="AG189">
        <v>0.42800753026638</v>
      </c>
      <c r="AH189">
        <v>32.997116162414002</v>
      </c>
      <c r="AI189">
        <v>11.24</v>
      </c>
      <c r="AJ189">
        <v>14.88</v>
      </c>
    </row>
    <row r="190" spans="1:36" x14ac:dyDescent="0.25">
      <c r="A190">
        <v>8759</v>
      </c>
      <c r="B190">
        <v>480</v>
      </c>
      <c r="C190">
        <v>2403</v>
      </c>
      <c r="D190">
        <v>4</v>
      </c>
      <c r="E190">
        <v>340</v>
      </c>
      <c r="F190">
        <v>12170</v>
      </c>
      <c r="G190">
        <v>9.3800000000000008</v>
      </c>
      <c r="H190">
        <v>2.13</v>
      </c>
      <c r="I190">
        <v>7.46</v>
      </c>
      <c r="J190">
        <v>0.01</v>
      </c>
      <c r="K190">
        <v>0.71</v>
      </c>
      <c r="L190">
        <v>25.21</v>
      </c>
      <c r="M190">
        <v>1.49</v>
      </c>
      <c r="N190">
        <v>23.89</v>
      </c>
      <c r="O190">
        <v>26.21</v>
      </c>
      <c r="P190">
        <v>4.04</v>
      </c>
      <c r="Q190">
        <v>24.83</v>
      </c>
      <c r="R190">
        <v>33.61</v>
      </c>
      <c r="S190">
        <v>5.05</v>
      </c>
      <c r="T190">
        <v>2078</v>
      </c>
      <c r="U190">
        <v>1904</v>
      </c>
      <c r="V190">
        <v>1176</v>
      </c>
      <c r="W190">
        <v>1592</v>
      </c>
      <c r="X190">
        <v>7205</v>
      </c>
      <c r="Y190">
        <v>636</v>
      </c>
      <c r="Z190">
        <v>5487</v>
      </c>
      <c r="AA190">
        <v>1449</v>
      </c>
      <c r="AB190">
        <v>15.196999999999999</v>
      </c>
      <c r="AC190">
        <v>14777</v>
      </c>
      <c r="AD190">
        <v>0.59</v>
      </c>
      <c r="AE190">
        <v>0.42918356415946102</v>
      </c>
      <c r="AF190">
        <v>9.6022066062486696E-3</v>
      </c>
      <c r="AG190">
        <v>0.78355343107289199</v>
      </c>
      <c r="AH190">
        <v>33.611159267982401</v>
      </c>
      <c r="AI190">
        <v>1.49</v>
      </c>
      <c r="AJ190">
        <v>23.89</v>
      </c>
    </row>
    <row r="191" spans="1:36" x14ac:dyDescent="0.25">
      <c r="A191">
        <v>14983</v>
      </c>
      <c r="B191">
        <v>2947</v>
      </c>
      <c r="C191">
        <v>1676</v>
      </c>
      <c r="D191">
        <v>3</v>
      </c>
      <c r="E191">
        <v>49</v>
      </c>
      <c r="F191">
        <v>12248</v>
      </c>
      <c r="G191">
        <v>16.05</v>
      </c>
      <c r="H191">
        <v>13.08</v>
      </c>
      <c r="I191">
        <v>5.21</v>
      </c>
      <c r="J191">
        <v>0.01</v>
      </c>
      <c r="K191">
        <v>0.1</v>
      </c>
      <c r="L191">
        <v>25.37</v>
      </c>
      <c r="M191">
        <v>9.16</v>
      </c>
      <c r="N191">
        <v>16.670000000000002</v>
      </c>
      <c r="O191">
        <v>13.45</v>
      </c>
      <c r="P191">
        <v>11.16</v>
      </c>
      <c r="Q191">
        <v>24.83</v>
      </c>
      <c r="R191">
        <v>33.83</v>
      </c>
      <c r="S191">
        <v>26.27</v>
      </c>
      <c r="T191">
        <v>2078</v>
      </c>
      <c r="U191">
        <v>1904</v>
      </c>
      <c r="V191">
        <v>1184</v>
      </c>
      <c r="W191">
        <v>390</v>
      </c>
      <c r="X191">
        <v>7835</v>
      </c>
      <c r="Y191">
        <v>1029</v>
      </c>
      <c r="Z191">
        <v>5247</v>
      </c>
      <c r="AA191">
        <v>3104</v>
      </c>
      <c r="AB191">
        <v>12.670999999999999</v>
      </c>
      <c r="AC191">
        <v>17215</v>
      </c>
      <c r="AD191">
        <v>0.5</v>
      </c>
      <c r="AE191">
        <v>0.49391690259392401</v>
      </c>
      <c r="AF191">
        <v>8.8954946785568395E-3</v>
      </c>
      <c r="AG191">
        <v>0.111690146021975</v>
      </c>
      <c r="AH191">
        <v>33.827121448529901</v>
      </c>
      <c r="AI191">
        <v>9.16</v>
      </c>
      <c r="AJ191">
        <v>16.670000000000002</v>
      </c>
    </row>
    <row r="192" spans="1:36" x14ac:dyDescent="0.25">
      <c r="A192">
        <v>11996</v>
      </c>
      <c r="B192">
        <v>1818</v>
      </c>
      <c r="C192">
        <v>2005</v>
      </c>
      <c r="D192">
        <v>13</v>
      </c>
      <c r="E192">
        <v>275</v>
      </c>
      <c r="F192">
        <v>12130</v>
      </c>
      <c r="G192">
        <v>12.85</v>
      </c>
      <c r="H192">
        <v>8.07</v>
      </c>
      <c r="I192">
        <v>6.23</v>
      </c>
      <c r="J192">
        <v>0.03</v>
      </c>
      <c r="K192">
        <v>0.56999999999999995</v>
      </c>
      <c r="L192">
        <v>25.12</v>
      </c>
      <c r="M192">
        <v>5.65</v>
      </c>
      <c r="N192">
        <v>19.93</v>
      </c>
      <c r="O192">
        <v>18.86</v>
      </c>
      <c r="P192">
        <v>7.33</v>
      </c>
      <c r="Q192">
        <v>24.85</v>
      </c>
      <c r="R192">
        <v>33.5</v>
      </c>
      <c r="S192">
        <v>16.77</v>
      </c>
      <c r="T192">
        <v>2081</v>
      </c>
      <c r="U192">
        <v>1904</v>
      </c>
      <c r="V192">
        <v>1172</v>
      </c>
      <c r="W192">
        <v>948</v>
      </c>
      <c r="X192">
        <v>7569</v>
      </c>
      <c r="Y192">
        <v>847</v>
      </c>
      <c r="Z192">
        <v>5356</v>
      </c>
      <c r="AA192">
        <v>2321</v>
      </c>
      <c r="AB192">
        <v>13.923999999999999</v>
      </c>
      <c r="AC192">
        <v>16093</v>
      </c>
      <c r="AD192">
        <v>0.52</v>
      </c>
      <c r="AE192">
        <v>0.46277450455275798</v>
      </c>
      <c r="AF192">
        <v>3.3108728708505501E-2</v>
      </c>
      <c r="AG192">
        <v>0.63265754377607297</v>
      </c>
      <c r="AH192">
        <v>33.4992088805433</v>
      </c>
      <c r="AI192">
        <v>5.65</v>
      </c>
      <c r="AJ192">
        <v>19.93</v>
      </c>
    </row>
    <row r="193" spans="1:36" x14ac:dyDescent="0.25">
      <c r="A193">
        <v>6790</v>
      </c>
      <c r="B193">
        <v>3081</v>
      </c>
      <c r="C193">
        <v>1655</v>
      </c>
      <c r="D193">
        <v>3</v>
      </c>
      <c r="E193">
        <v>408</v>
      </c>
      <c r="F193">
        <v>11790</v>
      </c>
      <c r="G193">
        <v>7.27</v>
      </c>
      <c r="H193">
        <v>13.68</v>
      </c>
      <c r="I193">
        <v>5.14</v>
      </c>
      <c r="J193">
        <v>0.01</v>
      </c>
      <c r="K193">
        <v>0.85</v>
      </c>
      <c r="L193">
        <v>24.42</v>
      </c>
      <c r="M193">
        <v>9.57</v>
      </c>
      <c r="N193">
        <v>16.45</v>
      </c>
      <c r="O193">
        <v>14.69</v>
      </c>
      <c r="P193">
        <v>4.28</v>
      </c>
      <c r="Q193">
        <v>24.83</v>
      </c>
      <c r="R193">
        <v>32.56</v>
      </c>
      <c r="S193">
        <v>28.29</v>
      </c>
      <c r="T193">
        <v>2078</v>
      </c>
      <c r="U193">
        <v>1904</v>
      </c>
      <c r="V193">
        <v>1139</v>
      </c>
      <c r="W193">
        <v>842</v>
      </c>
      <c r="X193">
        <v>8417</v>
      </c>
      <c r="Y193">
        <v>879</v>
      </c>
      <c r="Z193">
        <v>5240</v>
      </c>
      <c r="AA193">
        <v>1891</v>
      </c>
      <c r="AB193">
        <v>15.884</v>
      </c>
      <c r="AC193">
        <v>16427</v>
      </c>
      <c r="AD193">
        <v>0.38</v>
      </c>
      <c r="AE193">
        <v>0.51886142780625899</v>
      </c>
      <c r="AF193">
        <v>7.3353899351333799E-3</v>
      </c>
      <c r="AG193">
        <v>0.93923422586170802</v>
      </c>
      <c r="AH193">
        <v>32.560203486319502</v>
      </c>
      <c r="AI193">
        <v>9.57</v>
      </c>
      <c r="AJ193">
        <v>16.45</v>
      </c>
    </row>
    <row r="194" spans="1:36" x14ac:dyDescent="0.25">
      <c r="A194">
        <v>5704</v>
      </c>
      <c r="B194">
        <v>50</v>
      </c>
      <c r="C194">
        <v>2574</v>
      </c>
      <c r="D194">
        <v>4</v>
      </c>
      <c r="E194">
        <v>82</v>
      </c>
      <c r="F194">
        <v>12250</v>
      </c>
      <c r="G194">
        <v>6.11</v>
      </c>
      <c r="H194">
        <v>0.22</v>
      </c>
      <c r="I194">
        <v>8</v>
      </c>
      <c r="J194">
        <v>0.01</v>
      </c>
      <c r="K194">
        <v>0.17</v>
      </c>
      <c r="L194">
        <v>25.37</v>
      </c>
      <c r="M194">
        <v>0.16</v>
      </c>
      <c r="N194">
        <v>25.59</v>
      </c>
      <c r="O194">
        <v>29.82</v>
      </c>
      <c r="P194">
        <v>1.93</v>
      </c>
      <c r="Q194">
        <v>24.83</v>
      </c>
      <c r="R194">
        <v>33.83</v>
      </c>
      <c r="S194">
        <v>0.64</v>
      </c>
      <c r="T194">
        <v>2078</v>
      </c>
      <c r="U194">
        <v>1904</v>
      </c>
      <c r="V194">
        <v>1184</v>
      </c>
      <c r="W194">
        <v>1929</v>
      </c>
      <c r="X194">
        <v>7171</v>
      </c>
      <c r="Y194">
        <v>526</v>
      </c>
      <c r="Z194">
        <v>5544</v>
      </c>
      <c r="AA194">
        <v>880</v>
      </c>
      <c r="AB194">
        <v>16.268000000000001</v>
      </c>
      <c r="AC194">
        <v>14121</v>
      </c>
      <c r="AD194">
        <v>0.61</v>
      </c>
      <c r="AE194">
        <v>0.42306220827913299</v>
      </c>
      <c r="AF194">
        <v>1.0854996662007E-2</v>
      </c>
      <c r="AG194">
        <v>0.188265301426293</v>
      </c>
      <c r="AH194">
        <v>33.8312099204663</v>
      </c>
      <c r="AI194">
        <v>0.16</v>
      </c>
      <c r="AJ194">
        <v>25.59</v>
      </c>
    </row>
    <row r="195" spans="1:36" x14ac:dyDescent="0.25">
      <c r="A195">
        <v>6691</v>
      </c>
      <c r="B195">
        <v>830</v>
      </c>
      <c r="C195">
        <v>2344</v>
      </c>
      <c r="D195">
        <v>1</v>
      </c>
      <c r="E195">
        <v>206</v>
      </c>
      <c r="F195">
        <v>12063</v>
      </c>
      <c r="G195">
        <v>7.17</v>
      </c>
      <c r="H195">
        <v>3.68</v>
      </c>
      <c r="I195">
        <v>7.28</v>
      </c>
      <c r="J195">
        <v>0</v>
      </c>
      <c r="K195">
        <v>0.43</v>
      </c>
      <c r="L195">
        <v>24.99</v>
      </c>
      <c r="M195">
        <v>2.58</v>
      </c>
      <c r="N195">
        <v>23.31</v>
      </c>
      <c r="O195">
        <v>25.36</v>
      </c>
      <c r="P195">
        <v>2.7</v>
      </c>
      <c r="Q195">
        <v>24.82</v>
      </c>
      <c r="R195">
        <v>33.31</v>
      </c>
      <c r="S195">
        <v>7.84</v>
      </c>
      <c r="T195">
        <v>2077</v>
      </c>
      <c r="U195">
        <v>1904</v>
      </c>
      <c r="V195">
        <v>1166</v>
      </c>
      <c r="W195">
        <v>1608</v>
      </c>
      <c r="X195">
        <v>7450</v>
      </c>
      <c r="Y195">
        <v>631</v>
      </c>
      <c r="Z195">
        <v>5469</v>
      </c>
      <c r="AA195">
        <v>1244</v>
      </c>
      <c r="AB195">
        <v>15.932</v>
      </c>
      <c r="AC195">
        <v>14794</v>
      </c>
      <c r="AD195">
        <v>0.55000000000000004</v>
      </c>
      <c r="AE195">
        <v>0.44395133522075098</v>
      </c>
      <c r="AF195">
        <v>2.7974977291921701E-3</v>
      </c>
      <c r="AG195">
        <v>0.47404373565998797</v>
      </c>
      <c r="AH195">
        <v>33.314028778122399</v>
      </c>
      <c r="AI195">
        <v>2.58</v>
      </c>
      <c r="AJ195">
        <v>23.31</v>
      </c>
    </row>
    <row r="196" spans="1:36" x14ac:dyDescent="0.25">
      <c r="A196">
        <v>7832</v>
      </c>
      <c r="B196">
        <v>3725</v>
      </c>
      <c r="C196">
        <v>1397</v>
      </c>
      <c r="D196">
        <v>24</v>
      </c>
      <c r="E196">
        <v>540</v>
      </c>
      <c r="F196">
        <v>11909</v>
      </c>
      <c r="G196">
        <v>8.39</v>
      </c>
      <c r="H196">
        <v>16.53</v>
      </c>
      <c r="I196">
        <v>4.34</v>
      </c>
      <c r="J196">
        <v>0.05</v>
      </c>
      <c r="K196">
        <v>1.1200000000000001</v>
      </c>
      <c r="L196">
        <v>24.67</v>
      </c>
      <c r="M196">
        <v>11.57</v>
      </c>
      <c r="N196">
        <v>13.89</v>
      </c>
      <c r="O196">
        <v>11.87</v>
      </c>
      <c r="P196">
        <v>6.23</v>
      </c>
      <c r="Q196">
        <v>24.88</v>
      </c>
      <c r="R196">
        <v>32.89</v>
      </c>
      <c r="S196">
        <v>34.31</v>
      </c>
      <c r="T196">
        <v>2085</v>
      </c>
      <c r="U196">
        <v>1904</v>
      </c>
      <c r="V196">
        <v>1151</v>
      </c>
      <c r="W196">
        <v>549</v>
      </c>
      <c r="X196">
        <v>8662</v>
      </c>
      <c r="Y196">
        <v>974</v>
      </c>
      <c r="Z196">
        <v>5155</v>
      </c>
      <c r="AA196">
        <v>2225</v>
      </c>
      <c r="AB196">
        <v>15.478999999999999</v>
      </c>
      <c r="AC196">
        <v>17016</v>
      </c>
      <c r="AD196">
        <v>0.37</v>
      </c>
      <c r="AE196">
        <v>0.54372943607008895</v>
      </c>
      <c r="AF196">
        <v>6.1265366438640501E-2</v>
      </c>
      <c r="AG196">
        <v>1.24341961149809</v>
      </c>
      <c r="AH196">
        <v>32.8896563072473</v>
      </c>
      <c r="AI196">
        <v>11.57</v>
      </c>
      <c r="AJ196">
        <v>13.89</v>
      </c>
    </row>
    <row r="197" spans="1:36" x14ac:dyDescent="0.25">
      <c r="A197">
        <v>6885</v>
      </c>
      <c r="B197">
        <v>5109</v>
      </c>
      <c r="C197">
        <v>2765</v>
      </c>
      <c r="D197">
        <v>5</v>
      </c>
      <c r="E197">
        <v>19</v>
      </c>
      <c r="F197">
        <v>3807</v>
      </c>
      <c r="G197">
        <v>7.38</v>
      </c>
      <c r="H197">
        <v>22.68</v>
      </c>
      <c r="I197">
        <v>8.59</v>
      </c>
      <c r="J197">
        <v>0.01</v>
      </c>
      <c r="K197">
        <v>0.04</v>
      </c>
      <c r="L197">
        <v>7.89</v>
      </c>
      <c r="M197">
        <v>15.87</v>
      </c>
      <c r="N197">
        <v>27.49</v>
      </c>
      <c r="O197">
        <v>11.06</v>
      </c>
      <c r="P197">
        <v>6.3</v>
      </c>
      <c r="Q197">
        <v>24.83</v>
      </c>
      <c r="R197">
        <v>10.52</v>
      </c>
      <c r="S197">
        <v>45.4</v>
      </c>
      <c r="T197">
        <v>2078</v>
      </c>
      <c r="U197">
        <v>1904</v>
      </c>
      <c r="V197">
        <v>368</v>
      </c>
      <c r="W197">
        <v>488</v>
      </c>
      <c r="X197">
        <v>8764</v>
      </c>
      <c r="Y197">
        <v>1013</v>
      </c>
      <c r="Z197">
        <v>5608</v>
      </c>
      <c r="AA197">
        <v>2693</v>
      </c>
      <c r="AB197">
        <v>17.425999999999998</v>
      </c>
      <c r="AC197">
        <v>18078</v>
      </c>
      <c r="AD197">
        <v>0.33</v>
      </c>
      <c r="AE197">
        <v>0.62200627438977696</v>
      </c>
      <c r="AF197">
        <v>1.3279395893256401E-2</v>
      </c>
      <c r="AG197">
        <v>4.3698022893814401E-2</v>
      </c>
      <c r="AH197">
        <v>10.515058909744299</v>
      </c>
      <c r="AI197">
        <v>15.87</v>
      </c>
      <c r="AJ197">
        <v>27.49</v>
      </c>
    </row>
    <row r="198" spans="1:36" x14ac:dyDescent="0.25">
      <c r="A198">
        <v>6019</v>
      </c>
      <c r="B198">
        <v>2575</v>
      </c>
      <c r="C198">
        <v>1786</v>
      </c>
      <c r="D198">
        <v>2</v>
      </c>
      <c r="E198">
        <v>160</v>
      </c>
      <c r="F198">
        <v>12168</v>
      </c>
      <c r="G198">
        <v>6.45</v>
      </c>
      <c r="H198">
        <v>11.43</v>
      </c>
      <c r="I198">
        <v>5.55</v>
      </c>
      <c r="J198">
        <v>0</v>
      </c>
      <c r="K198">
        <v>0.33</v>
      </c>
      <c r="L198">
        <v>25.2</v>
      </c>
      <c r="M198">
        <v>8</v>
      </c>
      <c r="N198">
        <v>17.760000000000002</v>
      </c>
      <c r="O198">
        <v>17.13</v>
      </c>
      <c r="P198">
        <v>3.24</v>
      </c>
      <c r="Q198">
        <v>24.82</v>
      </c>
      <c r="R198">
        <v>33.6</v>
      </c>
      <c r="S198">
        <v>23.23</v>
      </c>
      <c r="T198">
        <v>2077</v>
      </c>
      <c r="U198">
        <v>1904</v>
      </c>
      <c r="V198">
        <v>1176</v>
      </c>
      <c r="W198">
        <v>1054</v>
      </c>
      <c r="X198">
        <v>8230</v>
      </c>
      <c r="Y198">
        <v>810</v>
      </c>
      <c r="Z198">
        <v>5284</v>
      </c>
      <c r="AA198">
        <v>1645</v>
      </c>
      <c r="AB198">
        <v>16.05</v>
      </c>
      <c r="AC198">
        <v>15969</v>
      </c>
      <c r="AD198">
        <v>0.41</v>
      </c>
      <c r="AE198">
        <v>0.49873747034968202</v>
      </c>
      <c r="AF198">
        <v>4.8050561329659597E-3</v>
      </c>
      <c r="AG198">
        <v>0.36826794375647198</v>
      </c>
      <c r="AH198">
        <v>33.604916698156202</v>
      </c>
      <c r="AI198">
        <v>8</v>
      </c>
      <c r="AJ198">
        <v>17.760000000000002</v>
      </c>
    </row>
    <row r="199" spans="1:36" x14ac:dyDescent="0.25">
      <c r="A199">
        <v>14999</v>
      </c>
      <c r="B199">
        <v>7392</v>
      </c>
      <c r="C199">
        <v>287</v>
      </c>
      <c r="D199">
        <v>8</v>
      </c>
      <c r="E199">
        <v>44</v>
      </c>
      <c r="F199">
        <v>12248</v>
      </c>
      <c r="G199">
        <v>16.07</v>
      </c>
      <c r="H199">
        <v>32.81</v>
      </c>
      <c r="I199">
        <v>0.89</v>
      </c>
      <c r="J199">
        <v>0.02</v>
      </c>
      <c r="K199">
        <v>0.09</v>
      </c>
      <c r="L199">
        <v>25.37</v>
      </c>
      <c r="M199">
        <v>22.97</v>
      </c>
      <c r="N199">
        <v>2.86</v>
      </c>
      <c r="O199">
        <v>5.08</v>
      </c>
      <c r="P199">
        <v>26.85</v>
      </c>
      <c r="Q199">
        <v>24.84</v>
      </c>
      <c r="R199">
        <v>33.83</v>
      </c>
      <c r="S199">
        <v>65.72</v>
      </c>
      <c r="T199">
        <v>2079</v>
      </c>
      <c r="U199">
        <v>1904</v>
      </c>
      <c r="V199">
        <v>1184</v>
      </c>
      <c r="W199">
        <v>-1118</v>
      </c>
      <c r="X199">
        <v>9722</v>
      </c>
      <c r="Y199">
        <v>1518</v>
      </c>
      <c r="Z199">
        <v>4789</v>
      </c>
      <c r="AA199">
        <v>4376</v>
      </c>
      <c r="AB199">
        <v>12.423</v>
      </c>
      <c r="AC199">
        <v>20405</v>
      </c>
      <c r="AD199">
        <v>0.71</v>
      </c>
      <c r="AE199">
        <v>0.73180809549315096</v>
      </c>
      <c r="AF199">
        <v>1.9851908228343498E-2</v>
      </c>
      <c r="AG199">
        <v>0.10195111175549799</v>
      </c>
      <c r="AH199">
        <v>33.827121448529901</v>
      </c>
      <c r="AI199">
        <v>22.97</v>
      </c>
      <c r="AJ199">
        <v>2.86</v>
      </c>
    </row>
    <row r="200" spans="1:36" x14ac:dyDescent="0.25">
      <c r="A200">
        <v>13635</v>
      </c>
      <c r="B200">
        <v>2493</v>
      </c>
      <c r="C200">
        <v>1770</v>
      </c>
      <c r="D200">
        <v>3</v>
      </c>
      <c r="E200">
        <v>400</v>
      </c>
      <c r="F200">
        <v>12126</v>
      </c>
      <c r="G200">
        <v>14.61</v>
      </c>
      <c r="H200">
        <v>11.07</v>
      </c>
      <c r="I200">
        <v>5.5</v>
      </c>
      <c r="J200">
        <v>0.01</v>
      </c>
      <c r="K200">
        <v>0.83</v>
      </c>
      <c r="L200">
        <v>25.12</v>
      </c>
      <c r="M200">
        <v>7.75</v>
      </c>
      <c r="N200">
        <v>17.600000000000001</v>
      </c>
      <c r="O200">
        <v>15.46</v>
      </c>
      <c r="P200">
        <v>9.42</v>
      </c>
      <c r="Q200">
        <v>24.83</v>
      </c>
      <c r="R200">
        <v>33.49</v>
      </c>
      <c r="S200">
        <v>23.05</v>
      </c>
      <c r="T200">
        <v>2078</v>
      </c>
      <c r="U200">
        <v>1904</v>
      </c>
      <c r="V200">
        <v>1172</v>
      </c>
      <c r="W200">
        <v>615</v>
      </c>
      <c r="X200">
        <v>7773</v>
      </c>
      <c r="Y200">
        <v>955</v>
      </c>
      <c r="Z200">
        <v>5278</v>
      </c>
      <c r="AA200">
        <v>2754</v>
      </c>
      <c r="AB200">
        <v>13.308</v>
      </c>
      <c r="AC200">
        <v>16760</v>
      </c>
      <c r="AD200">
        <v>0.5</v>
      </c>
      <c r="AE200">
        <v>0.484658351824929</v>
      </c>
      <c r="AF200">
        <v>8.5863981090855794E-3</v>
      </c>
      <c r="AG200">
        <v>0.92019667150074502</v>
      </c>
      <c r="AH200">
        <v>33.488276283794796</v>
      </c>
      <c r="AI200">
        <v>7.75</v>
      </c>
      <c r="AJ200">
        <v>17.600000000000001</v>
      </c>
    </row>
    <row r="201" spans="1:36" x14ac:dyDescent="0.25">
      <c r="A201">
        <v>14997</v>
      </c>
      <c r="B201">
        <v>6133</v>
      </c>
      <c r="C201">
        <v>671</v>
      </c>
      <c r="D201">
        <v>6</v>
      </c>
      <c r="E201">
        <v>123</v>
      </c>
      <c r="F201">
        <v>12216</v>
      </c>
      <c r="G201">
        <v>16.07</v>
      </c>
      <c r="H201">
        <v>27.22</v>
      </c>
      <c r="I201">
        <v>2.09</v>
      </c>
      <c r="J201">
        <v>0.01</v>
      </c>
      <c r="K201">
        <v>0.26</v>
      </c>
      <c r="L201">
        <v>25.3</v>
      </c>
      <c r="M201">
        <v>19.05</v>
      </c>
      <c r="N201">
        <v>6.68</v>
      </c>
      <c r="O201">
        <v>6.01</v>
      </c>
      <c r="P201">
        <v>20.99</v>
      </c>
      <c r="Q201">
        <v>24.84</v>
      </c>
      <c r="R201">
        <v>33.74</v>
      </c>
      <c r="S201">
        <v>54.72</v>
      </c>
      <c r="T201">
        <v>2079</v>
      </c>
      <c r="U201">
        <v>1904</v>
      </c>
      <c r="V201">
        <v>1181</v>
      </c>
      <c r="W201">
        <v>-693</v>
      </c>
      <c r="X201">
        <v>9198</v>
      </c>
      <c r="Y201">
        <v>1380</v>
      </c>
      <c r="Z201">
        <v>4916</v>
      </c>
      <c r="AA201">
        <v>4012</v>
      </c>
      <c r="AB201">
        <v>12.519</v>
      </c>
      <c r="AC201">
        <v>19506</v>
      </c>
      <c r="AD201">
        <v>0.57999999999999996</v>
      </c>
      <c r="AE201">
        <v>0.65475552834952899</v>
      </c>
      <c r="AF201">
        <v>1.5021044012750199E-2</v>
      </c>
      <c r="AG201">
        <v>0.28396962122523201</v>
      </c>
      <c r="AH201">
        <v>33.737112828863197</v>
      </c>
      <c r="AI201">
        <v>19.05</v>
      </c>
      <c r="AJ201">
        <v>6.68</v>
      </c>
    </row>
    <row r="202" spans="1:36" x14ac:dyDescent="0.25">
      <c r="A202">
        <v>5599</v>
      </c>
      <c r="B202">
        <v>4846</v>
      </c>
      <c r="C202">
        <v>2773</v>
      </c>
      <c r="D202">
        <v>17</v>
      </c>
      <c r="E202">
        <v>42</v>
      </c>
      <c r="F202">
        <v>4128</v>
      </c>
      <c r="G202">
        <v>6</v>
      </c>
      <c r="H202">
        <v>21.51</v>
      </c>
      <c r="I202">
        <v>8.61</v>
      </c>
      <c r="J202">
        <v>0.04</v>
      </c>
      <c r="K202">
        <v>0.09</v>
      </c>
      <c r="L202">
        <v>8.5500000000000007</v>
      </c>
      <c r="M202">
        <v>15.06</v>
      </c>
      <c r="N202">
        <v>27.57</v>
      </c>
      <c r="O202">
        <v>12.14</v>
      </c>
      <c r="P202">
        <v>4.82</v>
      </c>
      <c r="Q202">
        <v>24.86</v>
      </c>
      <c r="R202">
        <v>11.4</v>
      </c>
      <c r="S202">
        <v>43.12</v>
      </c>
      <c r="T202">
        <v>2083</v>
      </c>
      <c r="U202">
        <v>1904</v>
      </c>
      <c r="V202">
        <v>399</v>
      </c>
      <c r="W202">
        <v>640</v>
      </c>
      <c r="X202">
        <v>8755</v>
      </c>
      <c r="Y202">
        <v>962</v>
      </c>
      <c r="Z202">
        <v>5609</v>
      </c>
      <c r="AA202">
        <v>2407</v>
      </c>
      <c r="AB202">
        <v>17.855</v>
      </c>
      <c r="AC202">
        <v>17733</v>
      </c>
      <c r="AD202">
        <v>0.32</v>
      </c>
      <c r="AE202">
        <v>0.61305379141479799</v>
      </c>
      <c r="AF202">
        <v>4.4680593216864503E-2</v>
      </c>
      <c r="AG202">
        <v>9.7754676574048197E-2</v>
      </c>
      <c r="AH202">
        <v>11.401114789058401</v>
      </c>
      <c r="AI202">
        <v>15.06</v>
      </c>
      <c r="AJ202">
        <v>27.57</v>
      </c>
    </row>
    <row r="203" spans="1:36" x14ac:dyDescent="0.25">
      <c r="A203">
        <v>6104</v>
      </c>
      <c r="B203">
        <v>441</v>
      </c>
      <c r="C203">
        <v>2417</v>
      </c>
      <c r="D203">
        <v>0</v>
      </c>
      <c r="E203">
        <v>273</v>
      </c>
      <c r="F203">
        <v>12230</v>
      </c>
      <c r="G203">
        <v>6.54</v>
      </c>
      <c r="H203">
        <v>1.96</v>
      </c>
      <c r="I203">
        <v>7.51</v>
      </c>
      <c r="J203">
        <v>0</v>
      </c>
      <c r="K203">
        <v>0.56000000000000005</v>
      </c>
      <c r="L203">
        <v>25.33</v>
      </c>
      <c r="M203">
        <v>1.37</v>
      </c>
      <c r="N203">
        <v>24.03</v>
      </c>
      <c r="O203">
        <v>27.48</v>
      </c>
      <c r="P203">
        <v>2.2400000000000002</v>
      </c>
      <c r="Q203">
        <v>24.82</v>
      </c>
      <c r="R203">
        <v>33.78</v>
      </c>
      <c r="S203">
        <v>4.55</v>
      </c>
      <c r="T203">
        <v>2077</v>
      </c>
      <c r="U203">
        <v>1904</v>
      </c>
      <c r="V203">
        <v>1182</v>
      </c>
      <c r="W203">
        <v>1766</v>
      </c>
      <c r="X203">
        <v>7340</v>
      </c>
      <c r="Y203">
        <v>579</v>
      </c>
      <c r="Z203">
        <v>5493</v>
      </c>
      <c r="AA203">
        <v>1042</v>
      </c>
      <c r="AB203">
        <v>16.149000000000001</v>
      </c>
      <c r="AC203">
        <v>14454</v>
      </c>
      <c r="AD203">
        <v>0.57999999999999996</v>
      </c>
      <c r="AE203">
        <v>0.43499885224577201</v>
      </c>
      <c r="AF203" s="15">
        <v>8.6706738021461198E-4</v>
      </c>
      <c r="AG203">
        <v>0.62743156113667597</v>
      </c>
      <c r="AH203">
        <v>33.775256487204999</v>
      </c>
      <c r="AI203">
        <v>1.37</v>
      </c>
      <c r="AJ203">
        <v>24.03</v>
      </c>
    </row>
    <row r="204" spans="1:36" x14ac:dyDescent="0.25">
      <c r="A204">
        <v>5771</v>
      </c>
      <c r="B204">
        <v>7</v>
      </c>
      <c r="C204">
        <v>2600</v>
      </c>
      <c r="D204">
        <v>9</v>
      </c>
      <c r="E204">
        <v>119</v>
      </c>
      <c r="F204">
        <v>12151</v>
      </c>
      <c r="G204">
        <v>6.18</v>
      </c>
      <c r="H204">
        <v>0.03</v>
      </c>
      <c r="I204">
        <v>8.08</v>
      </c>
      <c r="J204">
        <v>0.02</v>
      </c>
      <c r="K204">
        <v>0.25</v>
      </c>
      <c r="L204">
        <v>25.17</v>
      </c>
      <c r="M204">
        <v>0.02</v>
      </c>
      <c r="N204">
        <v>25.85</v>
      </c>
      <c r="O204">
        <v>30.05</v>
      </c>
      <c r="P204">
        <v>1.96</v>
      </c>
      <c r="Q204">
        <v>24.84</v>
      </c>
      <c r="R204">
        <v>33.56</v>
      </c>
      <c r="S204">
        <v>0.34</v>
      </c>
      <c r="T204">
        <v>2080</v>
      </c>
      <c r="U204">
        <v>1904</v>
      </c>
      <c r="V204">
        <v>1174</v>
      </c>
      <c r="W204">
        <v>1942</v>
      </c>
      <c r="X204">
        <v>7150</v>
      </c>
      <c r="Y204">
        <v>522</v>
      </c>
      <c r="Z204">
        <v>5553</v>
      </c>
      <c r="AA204">
        <v>875</v>
      </c>
      <c r="AB204">
        <v>16.279</v>
      </c>
      <c r="AC204">
        <v>14100</v>
      </c>
      <c r="AD204">
        <v>0.61</v>
      </c>
      <c r="AE204">
        <v>0.42260310658810901</v>
      </c>
      <c r="AF204">
        <v>2.3207245416616899E-2</v>
      </c>
      <c r="AG204">
        <v>0.27371083212580199</v>
      </c>
      <c r="AH204">
        <v>33.558039000497303</v>
      </c>
      <c r="AI204">
        <v>0.02</v>
      </c>
      <c r="AJ204">
        <v>25.85</v>
      </c>
    </row>
    <row r="205" spans="1:36" x14ac:dyDescent="0.25">
      <c r="A205">
        <v>14998</v>
      </c>
      <c r="B205">
        <v>4732</v>
      </c>
      <c r="C205">
        <v>1112</v>
      </c>
      <c r="D205">
        <v>9</v>
      </c>
      <c r="E205">
        <v>152</v>
      </c>
      <c r="F205">
        <v>12170</v>
      </c>
      <c r="G205">
        <v>16.07</v>
      </c>
      <c r="H205">
        <v>21</v>
      </c>
      <c r="I205">
        <v>3.46</v>
      </c>
      <c r="J205">
        <v>0.02</v>
      </c>
      <c r="K205">
        <v>0.32</v>
      </c>
      <c r="L205">
        <v>25.21</v>
      </c>
      <c r="M205">
        <v>14.7</v>
      </c>
      <c r="N205">
        <v>11.06</v>
      </c>
      <c r="O205">
        <v>8.15</v>
      </c>
      <c r="P205">
        <v>15.54</v>
      </c>
      <c r="Q205">
        <v>24.84</v>
      </c>
      <c r="R205">
        <v>33.61</v>
      </c>
      <c r="S205">
        <v>42.35</v>
      </c>
      <c r="T205">
        <v>2080</v>
      </c>
      <c r="U205">
        <v>1904</v>
      </c>
      <c r="V205">
        <v>1176</v>
      </c>
      <c r="W205">
        <v>-218</v>
      </c>
      <c r="X205">
        <v>8606</v>
      </c>
      <c r="Y205">
        <v>1226</v>
      </c>
      <c r="Z205">
        <v>5062</v>
      </c>
      <c r="AA205">
        <v>3611</v>
      </c>
      <c r="AB205">
        <v>12.614000000000001</v>
      </c>
      <c r="AC205">
        <v>18505</v>
      </c>
      <c r="AD205">
        <v>0.5</v>
      </c>
      <c r="AE205">
        <v>0.57647869002984098</v>
      </c>
      <c r="AF205">
        <v>2.4426394040397099E-2</v>
      </c>
      <c r="AG205">
        <v>0.35045577075182599</v>
      </c>
      <c r="AH205">
        <v>33.610270003567599</v>
      </c>
      <c r="AI205">
        <v>14.7</v>
      </c>
      <c r="AJ205">
        <v>11.06</v>
      </c>
    </row>
    <row r="206" spans="1:36" x14ac:dyDescent="0.25">
      <c r="O206">
        <f>(3.21+146.46+24.82)/(146.46+24.82+0+44.17)</f>
        <v>0.80988628452077061</v>
      </c>
      <c r="AF206">
        <f t="shared" ref="AF206:AF208" si="0">IF(H206&lt;P206,-1,1)</f>
        <v>1</v>
      </c>
      <c r="AG206">
        <f t="shared" ref="AG206:AG208" si="1">G206+17.95+H206+O206-P206-I206</f>
        <v>18.759886284520771</v>
      </c>
    </row>
    <row r="207" spans="1:36" x14ac:dyDescent="0.25">
      <c r="O207">
        <f>(17.95+16.07)/(146.46+24.82+0+44.17)</f>
        <v>0.15790206544441865</v>
      </c>
      <c r="AF207">
        <f t="shared" si="0"/>
        <v>1</v>
      </c>
      <c r="AG207">
        <f t="shared" si="1"/>
        <v>18.107902065444417</v>
      </c>
    </row>
    <row r="208" spans="1:36" x14ac:dyDescent="0.25">
      <c r="O208">
        <f>(24.82+146.46)/205.29</f>
        <v>0.8343319206975498</v>
      </c>
      <c r="AF208">
        <f t="shared" si="0"/>
        <v>1</v>
      </c>
      <c r="AG208">
        <f t="shared" si="1"/>
        <v>18.78433192069755</v>
      </c>
    </row>
    <row r="211" spans="15:16" x14ac:dyDescent="0.25">
      <c r="O211">
        <f>17.95+16.07+24.82+146.46</f>
        <v>205.3</v>
      </c>
    </row>
    <row r="212" spans="15:16" x14ac:dyDescent="0.25">
      <c r="O212">
        <f>146.46+24.82+0+44.17</f>
        <v>215.45</v>
      </c>
    </row>
    <row r="213" spans="15:16" x14ac:dyDescent="0.25">
      <c r="O213">
        <f>O212-O211</f>
        <v>10.149999999999977</v>
      </c>
    </row>
    <row r="215" spans="15:16" x14ac:dyDescent="0.25">
      <c r="O215">
        <f>17.95+16.07+3.21+73.23-66.29</f>
        <v>44.17</v>
      </c>
      <c r="P215">
        <f>17.95+16.07+3.21</f>
        <v>37.229999999999997</v>
      </c>
    </row>
    <row r="216" spans="15:16" x14ac:dyDescent="0.25">
      <c r="O216">
        <f>73.23-66.29</f>
        <v>6.9399999999999977</v>
      </c>
      <c r="P216">
        <f>44.17-O216+24.82+146.46</f>
        <v>208.51000000000002</v>
      </c>
    </row>
    <row r="217" spans="15:16" x14ac:dyDescent="0.25">
      <c r="O217">
        <f>O216+3.21</f>
        <v>10.149999999999999</v>
      </c>
    </row>
    <row r="219" spans="15:16" x14ac:dyDescent="0.25">
      <c r="O219">
        <f>44.17-(73.23-66.29)+0+24.82+146.46</f>
        <v>208.51000000000002</v>
      </c>
    </row>
  </sheetData>
  <sortState ref="A6:AE165">
    <sortCondition ref="AC6:AC165"/>
  </sortState>
  <mergeCells count="15">
    <mergeCell ref="AF3:AF4"/>
    <mergeCell ref="AG3:AG4"/>
    <mergeCell ref="AH3:AH4"/>
    <mergeCell ref="AI3:AI4"/>
    <mergeCell ref="AJ3:AJ4"/>
    <mergeCell ref="A1:F2"/>
    <mergeCell ref="G2:I2"/>
    <mergeCell ref="J2:N2"/>
    <mergeCell ref="G1:N1"/>
    <mergeCell ref="AE3:AE4"/>
    <mergeCell ref="AD3:AD4"/>
    <mergeCell ref="O1:P2"/>
    <mergeCell ref="Q1:S2"/>
    <mergeCell ref="AB2:AE2"/>
    <mergeCell ref="T2:AA2"/>
  </mergeCells>
  <conditionalFormatting sqref="AC6:AC165">
    <cfRule type="cellIs" dxfId="2" priority="3" operator="lessThan">
      <formula>$AC$5</formula>
    </cfRule>
  </conditionalFormatting>
  <conditionalFormatting sqref="AD6:AD165">
    <cfRule type="cellIs" dxfId="1" priority="2" operator="lessThan">
      <formula>$AD$5</formula>
    </cfRule>
  </conditionalFormatting>
  <conditionalFormatting sqref="AE6:AE165">
    <cfRule type="cellIs" dxfId="0" priority="1" operator="lessThan">
      <formula>$AE$5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Mahbub</dc:creator>
  <cp:lastModifiedBy>Shahriar Mahbub</cp:lastModifiedBy>
  <dcterms:created xsi:type="dcterms:W3CDTF">2015-02-24T09:13:51Z</dcterms:created>
  <dcterms:modified xsi:type="dcterms:W3CDTF">2015-03-20T13:59:31Z</dcterms:modified>
</cp:coreProperties>
</file>